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d.docs.live.net/2721b14d8e66d7df/Proiecte/VBA-ArrayTools/"/>
    </mc:Choice>
  </mc:AlternateContent>
  <xr:revisionPtr revIDLastSave="293" documentId="8_{905BC5E0-6187-43B8-B755-BEE0DB5F21C1}" xr6:coauthVersionLast="46" xr6:coauthVersionMax="46" xr10:uidLastSave="{9D392646-9C41-4AFA-91EA-0C129B8A8014}"/>
  <bookViews>
    <workbookView xWindow="28680" yWindow="-120" windowWidth="29040" windowHeight="15840" tabRatio="769" xr2:uid="{0A1B033F-AEDD-4B1B-92EE-6247DF25CEF0}"/>
  </bookViews>
  <sheets>
    <sheet name="DEMO" sheetId="2" r:id="rId1"/>
    <sheet name="DM_ARRAY" sheetId="3" r:id="rId2"/>
    <sheet name="DM_FILTER" sheetId="4" r:id="rId3"/>
    <sheet name="DM_INSERT" sheetId="5" r:id="rId4"/>
    <sheet name="DM_INSERT2" sheetId="6" r:id="rId5"/>
    <sheet name="DM_MERGE" sheetId="7" r:id="rId6"/>
    <sheet name="DM_REVERSE" sheetId="8" r:id="rId7"/>
    <sheet name="DM_SEQUENCE" sheetId="9" r:id="rId8"/>
    <sheet name="DM_SLICE" sheetId="10" r:id="rId9"/>
    <sheet name="DM_SORT" sheetId="11" r:id="rId10"/>
    <sheet name="DM_UNIQUE" sheetId="12" r:id="rId11"/>
  </sheets>
  <functionGroups builtInGroupCount="19"/>
  <definedNames>
    <definedName name="_xlnm._FilterDatabase" localSheetId="3" hidden="1">#REF!</definedName>
    <definedName name="_xlnm._FilterDatabase" localSheetId="4" hidden="1">#REF!</definedName>
    <definedName name="ttt">#REF!,#REF!</definedName>
  </definedNames>
  <calcPr calcId="191029"/>
  <extLst>
    <ext xmlns:x14="http://schemas.microsoft.com/office/spreadsheetml/2009/9/main" uri="{8193D73E-4604-4355-AFF4-8A2333D13BE4}">
      <x14:definedNames>
        <x14:definedName name="DM_ARRAY">
          <x14:argumentDescriptions count="2">
            <x14:argumentDescription index="0">the number of columns the output 2D array will have_x000D_
Use 0 (zero) to return a 1D Array</x14:argumentDescription>
            <x14:argumentDescription index="1">any value (Range, Named Range, Array, number, text etc.)</x14:argumentDescription>
          </x14:argumentDescriptions>
        </x14:definedName>
        <x14:definedName name="DM_FILTER">
          <x14:argumentDescriptions count="3">
            <x14:argumentDescription index="0">the index of the column to be used for filtering</x14:argumentDescription>
            <x14:argumentDescription index="1">the 2D array that needs filtering</x14:argumentDescription>
            <x14:argumentDescription index="2">'text operator' and 'comparison value(s)' pairs_x000D_
text operator: =, &lt;, &gt;, &lt;=, &gt;=, &lt;&gt;, IN , NOT IN, LIKE, NOT LIKE_x000D_
comparison value(s). LIKE and NOT LIKE accept arrays</x14:argumentDescription>
          </x14:argumentDescriptions>
        </x14:definedName>
        <x14:definedName name="DM_INSERT">
          <x14:argumentDescriptions count="3">
            <x14:argumentDescription index="0">a 2D array to insert into. 1D arrays are considered 1-row 2D</x14:argumentDescription>
            <x14:argumentDescription index="1">the number of rows to insert</x14:argumentDescription>
            <x14:argumentDescription index="2">the index of the row before which rows will be inserted</x14:argumentDescription>
          </x14:argumentDescriptions>
        </x14:definedName>
        <x14:definedName name="DM_INSERT2">
          <x14:argumentDescriptions count="5">
            <x14:argumentDescription index="0">a 2D array to insert into. 1D arrays are considered 1-row 2D</x14:argumentDescription>
            <x14:argumentDescription index="1">the number of rows to insert at each value change</x14:argumentDescription>
            <x14:argumentDescription index="2">the index of the column used for row comparison</x14:argumentDescription>
            <x14:argumentDescription index="3">[Optional]_x000D_
the number of rows to insert at the top of the array. Default is 0</x14:argumentDescription>
            <x14:argumentDescription index="4">[Optional]_x000D_
the number of rows to insert at the bottom of the array. Default is 0</x14:argumentDescription>
          </x14:argumentDescriptions>
        </x14:definedName>
        <x14:definedName name="DM_MERGE">
          <x14:argumentDescriptions count="3">
            <x14:argumentDescription index="0">the first 1D/2D Array. 1D arrays are considered 1-row 2D</x14:argumentDescription>
            <x14:argumentDescription index="1">the second 1D/2D Array. 1D arrays are considered 1-row 2D</x14:argumentDescription>
            <x14:argumentDescription index="2">[Optional]_x000D_
True - arrays are combined vertically_x000D_
False - arrays are combined horizontally (Default)</x14:argumentDescription>
          </x14:argumentDescriptions>
        </x14:definedName>
        <x14:definedName name="DM_REVERSE">
          <x14:argumentDescriptions count="3">
            <x14:argumentDescription index="0">a 1D/2D Array or Range of values to be reversed_x000D_
1D arrays are considered 1-row 2D</x14:argumentDescription>
            <x14:argumentDescription index="1">[Optional]_x000D_
the number of values in each group. Default is 1</x14:argumentDescription>
            <x14:argumentDescription index="2">[Optional]_x000D_
True - reverse vertically_x000D_
False - reverse horizontally (Default)</x14:argumentDescription>
          </x14:argumentDescriptions>
        </x14:definedName>
        <x14:definedName name="DM_SEQUENCE">
          <x14:argumentDescriptions count="4">
            <x14:argumentDescription index="0">number of rows in the output 2D Array</x14:argumentDescription>
            <x14:argumentDescription index="1">[Optional]_x000D_
number of output columns. Default is 1</x14:argumentDescription>
            <x14:argumentDescription index="2">[Optional]_x000D_
value of the first term. Default is 1</x14:argumentDescription>
            <x14:argumentDescription index="3">[Optional]_x000D_
difference between any 2 consecutive terms. Default is 1</x14:argumentDescription>
          </x14:argumentDescriptions>
        </x14:definedName>
        <x14:definedName name="DM_SLICE">
          <x14:argumentDescriptions count="5">
            <x14:argumentDescription index="0">a 1D/2D array to slice. 1D arrays can be viewed as 1-row 2D</x14:argumentDescription>
            <x14:argumentDescription index="1">the index of the first row to be added to result</x14:argumentDescription>
            <x14:argumentDescription index="2">the index of the first column to be added to result</x14:argumentDescription>
            <x14:argumentDescription index="3">[Optional]_x000D_
the number of rows to be returned. Default is 1. Use 0 to get all rows starting from startRow</x14:argumentDescription>
            <x14:argumentDescription index="4">[Optional]_x000D_
the number of columns to be returned. Default is 1Use 0 to get all columns starting from startColumn</x14:argumentDescription>
          </x14:argumentDescriptions>
        </x14:definedName>
        <x14:definedName name="DM_SORT">
          <x14:argumentDescriptions count="6">
            <x14:argumentDescription index="0">the array/range to sort</x14:argumentDescription>
            <x14:argumentDescription index="1">[Optional]_x000D_
the column/row to sort by. Default is 1</x14:argumentDescription>
            <x14:argumentDescription index="2">[Optional]_x000D_
True - Ascending (Default)_x000D_
False - Descending</x14:argumentDescription>
            <x14:argumentDescription index="3">[Optional]_x000D_
True - Sort anything that looks as a number, as a number (Default)_x000D_
False - Sort numbers stored as text as text</x14:argumentDescription>
            <x14:argumentDescription index="4">[Optional]_x000D_
True - Case Sensitive Texts_x000D_
False - Case Insensitive Texts (Default)</x14:argumentDescription>
            <x14:argumentDescription index="5">[Optional]_x000D_
True - Sort Vertically (Default)_x000D_
False - Sort Horizontally</x14:argumentDescription>
          </x14:argumentDescriptions>
        </x14:definedName>
        <x14:definedName name="DM_UNIQUE">
          <x14:argumentDescriptions count="3">
            <x14:argumentDescription index="0">a 1D/2D Array or Range of values to uniquify</x14:argumentDescription>
            <x14:argumentDescription index="1">[Optional]_x000D_
 the column/row index(es) to be used. Default is 0 (use all)_x000D_
Can be a list of more indexes (array/range)</x14:argumentDescription>
            <x14:argumentDescription index="2">[Optional]_x000D_
True - uniquifies vertically (by column) (Default)_x000D_
False - uniquifies horizontally (by row)</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V13" i="10" l="1" a="1"/>
  <c r="X16" i="10" s="1"/>
  <c r="O13" i="10" a="1"/>
  <c r="O15" i="10" s="1"/>
  <c r="X10" i="7" a="1"/>
  <c r="E14" i="11" a="1"/>
  <c r="F10" i="3" a="1"/>
  <c r="AC7" i="12" a="1"/>
  <c r="I27" i="12" a="1"/>
  <c r="Y7" i="12" a="1"/>
  <c r="E11" i="4" a="1"/>
  <c r="O10" i="7" a="1"/>
  <c r="E27" i="12" a="1"/>
  <c r="A13" i="9" a="1"/>
  <c r="I14" i="11" a="1"/>
  <c r="F10" i="7" a="1"/>
  <c r="I7" i="12" a="1"/>
  <c r="M11" i="4" a="1"/>
  <c r="E7" i="12" a="1"/>
  <c r="F23" i="7" a="1"/>
  <c r="Q7" i="12" a="1"/>
  <c r="I11" i="4" a="1"/>
  <c r="M14" i="11" a="1"/>
  <c r="H11" i="8" a="1"/>
  <c r="E13" i="6" a="1"/>
  <c r="M7" i="12" a="1"/>
  <c r="D11" i="5" a="1"/>
  <c r="O11" i="8" a="1"/>
  <c r="Q11" i="4" a="1"/>
  <c r="U7" i="12" a="1"/>
  <c r="H20" i="10" a="1"/>
  <c r="H13" i="10" a="1"/>
  <c r="H27" i="10" a="1"/>
  <c r="V13" i="10" l="1"/>
  <c r="W14" i="10"/>
  <c r="W15" i="10"/>
  <c r="X15" i="10"/>
  <c r="Y15" i="10"/>
  <c r="V16" i="10"/>
  <c r="K36" i="4"/>
  <c r="K32" i="4"/>
  <c r="K28" i="4"/>
  <c r="K24" i="4"/>
  <c r="K20" i="4"/>
  <c r="K16" i="4"/>
  <c r="K12" i="4"/>
  <c r="J36" i="4"/>
  <c r="I32" i="4"/>
  <c r="K27" i="4"/>
  <c r="J23" i="4"/>
  <c r="I19" i="4"/>
  <c r="K14" i="4"/>
  <c r="J35" i="4"/>
  <c r="I31" i="4"/>
  <c r="K26" i="4"/>
  <c r="J22" i="4"/>
  <c r="I18" i="4"/>
  <c r="K13" i="4"/>
  <c r="I35" i="4"/>
  <c r="K30" i="4"/>
  <c r="J26" i="4"/>
  <c r="I22" i="4"/>
  <c r="K17" i="4"/>
  <c r="J13" i="4"/>
  <c r="J34" i="4"/>
  <c r="I29" i="4"/>
  <c r="I23" i="4"/>
  <c r="I17" i="4"/>
  <c r="J11" i="4"/>
  <c r="I34" i="4"/>
  <c r="J28" i="4"/>
  <c r="K22" i="4"/>
  <c r="J16" i="4"/>
  <c r="I11" i="4"/>
  <c r="J33" i="4"/>
  <c r="J27" i="4"/>
  <c r="J21" i="4"/>
  <c r="K15" i="4"/>
  <c r="I33" i="4"/>
  <c r="I27" i="4"/>
  <c r="I21" i="4"/>
  <c r="J15" i="4"/>
  <c r="K31" i="4"/>
  <c r="K25" i="4"/>
  <c r="I20" i="4"/>
  <c r="J14" i="4"/>
  <c r="J29" i="4"/>
  <c r="K18" i="4"/>
  <c r="I28" i="4"/>
  <c r="J18" i="4"/>
  <c r="I26" i="4"/>
  <c r="J17" i="4"/>
  <c r="K11" i="4"/>
  <c r="J19" i="4"/>
  <c r="I36" i="4"/>
  <c r="J25" i="4"/>
  <c r="I16" i="4"/>
  <c r="K19" i="4"/>
  <c r="K35" i="4"/>
  <c r="I25" i="4"/>
  <c r="I15" i="4"/>
  <c r="K34" i="4"/>
  <c r="J24" i="4"/>
  <c r="I14" i="4"/>
  <c r="I12" i="4"/>
  <c r="J20" i="4"/>
  <c r="K29" i="4"/>
  <c r="K33" i="4"/>
  <c r="I24" i="4"/>
  <c r="I13" i="4"/>
  <c r="J32" i="4"/>
  <c r="K23" i="4"/>
  <c r="J12" i="4"/>
  <c r="J31" i="4"/>
  <c r="K21" i="4"/>
  <c r="J30" i="4"/>
  <c r="I30" i="4"/>
  <c r="Q36" i="4"/>
  <c r="Q32" i="4"/>
  <c r="Q28" i="4"/>
  <c r="Q24" i="4"/>
  <c r="Q20" i="4"/>
  <c r="Q16" i="4"/>
  <c r="Q12" i="4"/>
  <c r="Q34" i="4"/>
  <c r="Q30" i="4"/>
  <c r="Q26" i="4"/>
  <c r="Q22" i="4"/>
  <c r="Q18" i="4"/>
  <c r="Q14" i="4"/>
  <c r="R34" i="4"/>
  <c r="R29" i="4"/>
  <c r="S24" i="4"/>
  <c r="S19" i="4"/>
  <c r="Q15" i="4"/>
  <c r="Q33" i="4"/>
  <c r="R28" i="4"/>
  <c r="R23" i="4"/>
  <c r="S18" i="4"/>
  <c r="S13" i="4"/>
  <c r="S32" i="4"/>
  <c r="S27" i="4"/>
  <c r="Q23" i="4"/>
  <c r="R18" i="4"/>
  <c r="R13" i="4"/>
  <c r="S36" i="4"/>
  <c r="S30" i="4"/>
  <c r="R24" i="4"/>
  <c r="R17" i="4"/>
  <c r="R11" i="4"/>
  <c r="R36" i="4"/>
  <c r="R30" i="4"/>
  <c r="S23" i="4"/>
  <c r="Q17" i="4"/>
  <c r="Q11" i="4"/>
  <c r="R35" i="4"/>
  <c r="Q29" i="4"/>
  <c r="R22" i="4"/>
  <c r="R16" i="4"/>
  <c r="Q35" i="4"/>
  <c r="S28" i="4"/>
  <c r="S21" i="4"/>
  <c r="S15" i="4"/>
  <c r="S33" i="4"/>
  <c r="Q27" i="4"/>
  <c r="Q21" i="4"/>
  <c r="S14" i="4"/>
  <c r="S26" i="4"/>
  <c r="S16" i="4"/>
  <c r="R26" i="4"/>
  <c r="R15" i="4"/>
  <c r="S25" i="4"/>
  <c r="R14" i="4"/>
  <c r="S35" i="4"/>
  <c r="R25" i="4"/>
  <c r="Q13" i="4"/>
  <c r="S29" i="4"/>
  <c r="R27" i="4"/>
  <c r="S34" i="4"/>
  <c r="Q25" i="4"/>
  <c r="S12" i="4"/>
  <c r="R33" i="4"/>
  <c r="S22" i="4"/>
  <c r="R12" i="4"/>
  <c r="R31" i="4"/>
  <c r="S17" i="4"/>
  <c r="R32" i="4"/>
  <c r="R21" i="4"/>
  <c r="S11" i="4"/>
  <c r="S31" i="4"/>
  <c r="S20" i="4"/>
  <c r="R20" i="4"/>
  <c r="Q31" i="4"/>
  <c r="R19" i="4"/>
  <c r="Q19" i="4"/>
  <c r="N34" i="4"/>
  <c r="N30" i="4"/>
  <c r="N26" i="4"/>
  <c r="N22" i="4"/>
  <c r="N18" i="4"/>
  <c r="N14" i="4"/>
  <c r="N36" i="4"/>
  <c r="O36" i="4"/>
  <c r="M32" i="4"/>
  <c r="O27" i="4"/>
  <c r="N23" i="4"/>
  <c r="M19" i="4"/>
  <c r="O14" i="4"/>
  <c r="N35" i="4"/>
  <c r="M31" i="4"/>
  <c r="O26" i="4"/>
  <c r="M22" i="4"/>
  <c r="O17" i="4"/>
  <c r="N13" i="4"/>
  <c r="M35" i="4"/>
  <c r="O30" i="4"/>
  <c r="M26" i="4"/>
  <c r="O21" i="4"/>
  <c r="N17" i="4"/>
  <c r="M13" i="4"/>
  <c r="O31" i="4"/>
  <c r="N25" i="4"/>
  <c r="M20" i="4"/>
  <c r="M14" i="4"/>
  <c r="N31" i="4"/>
  <c r="M25" i="4"/>
  <c r="O19" i="4"/>
  <c r="O13" i="4"/>
  <c r="M36" i="4"/>
  <c r="O29" i="4"/>
  <c r="N24" i="4"/>
  <c r="O18" i="4"/>
  <c r="N12" i="4"/>
  <c r="O35" i="4"/>
  <c r="N29" i="4"/>
  <c r="M24" i="4"/>
  <c r="M18" i="4"/>
  <c r="M12" i="4"/>
  <c r="M34" i="4"/>
  <c r="O28" i="4"/>
  <c r="M23" i="4"/>
  <c r="O16" i="4"/>
  <c r="N11" i="4"/>
  <c r="O32" i="4"/>
  <c r="N21" i="4"/>
  <c r="O11" i="4"/>
  <c r="N32" i="4"/>
  <c r="M21" i="4"/>
  <c r="M11" i="4"/>
  <c r="M30" i="4"/>
  <c r="O20" i="4"/>
  <c r="O33" i="4"/>
  <c r="N15" i="4"/>
  <c r="N33" i="4"/>
  <c r="M15" i="4"/>
  <c r="M33" i="4"/>
  <c r="M29" i="4"/>
  <c r="N20" i="4"/>
  <c r="O12" i="4"/>
  <c r="N28" i="4"/>
  <c r="N19" i="4"/>
  <c r="M28" i="4"/>
  <c r="M17" i="4"/>
  <c r="O23" i="4"/>
  <c r="N27" i="4"/>
  <c r="N16" i="4"/>
  <c r="M27" i="4"/>
  <c r="M16" i="4"/>
  <c r="O34" i="4"/>
  <c r="O25" i="4"/>
  <c r="O15" i="4"/>
  <c r="O24" i="4"/>
  <c r="O22" i="4"/>
  <c r="D27" i="5"/>
  <c r="D21" i="5"/>
  <c r="D15" i="5"/>
  <c r="D30" i="5"/>
  <c r="D24" i="5"/>
  <c r="D18" i="5"/>
  <c r="D12" i="5"/>
  <c r="D28" i="5"/>
  <c r="E20" i="5"/>
  <c r="E13" i="5"/>
  <c r="E27" i="5"/>
  <c r="D26" i="5"/>
  <c r="D19" i="5"/>
  <c r="E11" i="5"/>
  <c r="E32" i="5"/>
  <c r="E25" i="5"/>
  <c r="E18" i="5"/>
  <c r="D11" i="5"/>
  <c r="E30" i="5"/>
  <c r="D20" i="5"/>
  <c r="E29" i="5"/>
  <c r="E19" i="5"/>
  <c r="E28" i="5"/>
  <c r="D17" i="5"/>
  <c r="E26" i="5"/>
  <c r="E16" i="5"/>
  <c r="E24" i="5"/>
  <c r="E15" i="5"/>
  <c r="D31" i="5"/>
  <c r="D13" i="5"/>
  <c r="D29" i="5"/>
  <c r="E12" i="5"/>
  <c r="D25" i="5"/>
  <c r="D16" i="5"/>
  <c r="E31" i="5"/>
  <c r="E23" i="5"/>
  <c r="D23" i="5"/>
  <c r="E22" i="5"/>
  <c r="E14" i="5"/>
  <c r="D22" i="5"/>
  <c r="E21" i="5"/>
  <c r="E17" i="5"/>
  <c r="D32" i="5"/>
  <c r="D14" i="5"/>
  <c r="I27" i="3"/>
  <c r="H26" i="3"/>
  <c r="G25" i="3"/>
  <c r="F24" i="3"/>
  <c r="P22" i="3"/>
  <c r="O21" i="3"/>
  <c r="N20" i="3"/>
  <c r="M19" i="3"/>
  <c r="L18" i="3"/>
  <c r="K17" i="3"/>
  <c r="J16" i="3"/>
  <c r="I15" i="3"/>
  <c r="H14" i="3"/>
  <c r="G13" i="3"/>
  <c r="F12" i="3"/>
  <c r="P10" i="3"/>
  <c r="F27" i="3"/>
  <c r="P25" i="3"/>
  <c r="O24" i="3"/>
  <c r="N23" i="3"/>
  <c r="M22" i="3"/>
  <c r="L21" i="3"/>
  <c r="K20" i="3"/>
  <c r="J19" i="3"/>
  <c r="I18" i="3"/>
  <c r="H17" i="3"/>
  <c r="G16" i="3"/>
  <c r="F15" i="3"/>
  <c r="P13" i="3"/>
  <c r="O12" i="3"/>
  <c r="N11" i="3"/>
  <c r="M10" i="3"/>
  <c r="O27" i="3"/>
  <c r="L26" i="3"/>
  <c r="I25" i="3"/>
  <c r="P23" i="3"/>
  <c r="L22" i="3"/>
  <c r="I21" i="3"/>
  <c r="F20" i="3"/>
  <c r="N18" i="3"/>
  <c r="J17" i="3"/>
  <c r="F16" i="3"/>
  <c r="N14" i="3"/>
  <c r="K13" i="3"/>
  <c r="H12" i="3"/>
  <c r="O10" i="3"/>
  <c r="L27" i="3"/>
  <c r="I26" i="3"/>
  <c r="P24" i="3"/>
  <c r="L23" i="3"/>
  <c r="I22" i="3"/>
  <c r="F21" i="3"/>
  <c r="N19" i="3"/>
  <c r="J18" i="3"/>
  <c r="F17" i="3"/>
  <c r="N15" i="3"/>
  <c r="K14" i="3"/>
  <c r="H13" i="3"/>
  <c r="O11" i="3"/>
  <c r="K10" i="3"/>
  <c r="K27" i="3"/>
  <c r="G26" i="3"/>
  <c r="N24" i="3"/>
  <c r="K23" i="3"/>
  <c r="H22" i="3"/>
  <c r="P20" i="3"/>
  <c r="L19" i="3"/>
  <c r="H18" i="3"/>
  <c r="P16" i="3"/>
  <c r="M15" i="3"/>
  <c r="J14" i="3"/>
  <c r="F13" i="3"/>
  <c r="M11" i="3"/>
  <c r="J10" i="3"/>
  <c r="H27" i="3"/>
  <c r="O25" i="3"/>
  <c r="L24" i="3"/>
  <c r="I23" i="3"/>
  <c r="F22" i="3"/>
  <c r="M20" i="3"/>
  <c r="I19" i="3"/>
  <c r="F18" i="3"/>
  <c r="N16" i="3"/>
  <c r="K15" i="3"/>
  <c r="G14" i="3"/>
  <c r="N12" i="3"/>
  <c r="K11" i="3"/>
  <c r="H10" i="3"/>
  <c r="M27" i="3"/>
  <c r="L25" i="3"/>
  <c r="M23" i="3"/>
  <c r="M21" i="3"/>
  <c r="O19" i="3"/>
  <c r="N17" i="3"/>
  <c r="O15" i="3"/>
  <c r="N13" i="3"/>
  <c r="P11" i="3"/>
  <c r="J27" i="3"/>
  <c r="K25" i="3"/>
  <c r="J23" i="3"/>
  <c r="K21" i="3"/>
  <c r="K19" i="3"/>
  <c r="M17" i="3"/>
  <c r="L15" i="3"/>
  <c r="M13" i="3"/>
  <c r="L11" i="3"/>
  <c r="G27" i="3"/>
  <c r="J25" i="3"/>
  <c r="H23" i="3"/>
  <c r="J21" i="3"/>
  <c r="H19" i="3"/>
  <c r="L17" i="3"/>
  <c r="J15" i="3"/>
  <c r="L13" i="3"/>
  <c r="J11" i="3"/>
  <c r="H24" i="3"/>
  <c r="I16" i="3"/>
  <c r="J12" i="3"/>
  <c r="N25" i="3"/>
  <c r="G24" i="3"/>
  <c r="H16" i="3"/>
  <c r="I12" i="3"/>
  <c r="N27" i="3"/>
  <c r="P26" i="3"/>
  <c r="H25" i="3"/>
  <c r="G23" i="3"/>
  <c r="H21" i="3"/>
  <c r="G19" i="3"/>
  <c r="I17" i="3"/>
  <c r="H15" i="3"/>
  <c r="J13" i="3"/>
  <c r="I11" i="3"/>
  <c r="G21" i="3"/>
  <c r="G17" i="3"/>
  <c r="I13" i="3"/>
  <c r="F26" i="3"/>
  <c r="I14" i="3"/>
  <c r="P27" i="3"/>
  <c r="P17" i="3"/>
  <c r="O26" i="3"/>
  <c r="F25" i="3"/>
  <c r="F23" i="3"/>
  <c r="F19" i="3"/>
  <c r="G15" i="3"/>
  <c r="H11" i="3"/>
  <c r="N26" i="3"/>
  <c r="M24" i="3"/>
  <c r="O22" i="3"/>
  <c r="O20" i="3"/>
  <c r="P18" i="3"/>
  <c r="O16" i="3"/>
  <c r="P14" i="3"/>
  <c r="P12" i="3"/>
  <c r="G11" i="3"/>
  <c r="I24" i="3"/>
  <c r="I20" i="3"/>
  <c r="L14" i="3"/>
  <c r="L10" i="3"/>
  <c r="H20" i="3"/>
  <c r="G20" i="3"/>
  <c r="G10" i="3"/>
  <c r="M26" i="3"/>
  <c r="K24" i="3"/>
  <c r="N22" i="3"/>
  <c r="L20" i="3"/>
  <c r="O18" i="3"/>
  <c r="M16" i="3"/>
  <c r="O14" i="3"/>
  <c r="M12" i="3"/>
  <c r="F11" i="3"/>
  <c r="K26" i="3"/>
  <c r="J24" i="3"/>
  <c r="K22" i="3"/>
  <c r="J20" i="3"/>
  <c r="M18" i="3"/>
  <c r="L16" i="3"/>
  <c r="M14" i="3"/>
  <c r="L12" i="3"/>
  <c r="N10" i="3"/>
  <c r="J26" i="3"/>
  <c r="J22" i="3"/>
  <c r="K18" i="3"/>
  <c r="K16" i="3"/>
  <c r="K12" i="3"/>
  <c r="G22" i="3"/>
  <c r="G18" i="3"/>
  <c r="I10" i="3"/>
  <c r="P21" i="3"/>
  <c r="F14" i="3"/>
  <c r="P15" i="3"/>
  <c r="O13" i="3"/>
  <c r="G12" i="3"/>
  <c r="F10" i="3"/>
  <c r="M25" i="3"/>
  <c r="O23" i="3"/>
  <c r="N21" i="3"/>
  <c r="P19" i="3"/>
  <c r="O17" i="3"/>
  <c r="X19" i="7"/>
  <c r="AB17" i="7"/>
  <c r="X16" i="7"/>
  <c r="AB14" i="7"/>
  <c r="X13" i="7"/>
  <c r="AB11" i="7"/>
  <c r="X10" i="7"/>
  <c r="AB18" i="7"/>
  <c r="AE16" i="7"/>
  <c r="Z15" i="7"/>
  <c r="AC13" i="7"/>
  <c r="X12" i="7"/>
  <c r="AA10" i="7"/>
  <c r="AE19" i="7"/>
  <c r="Z18" i="7"/>
  <c r="AC16" i="7"/>
  <c r="X15" i="7"/>
  <c r="AA13" i="7"/>
  <c r="AD11" i="7"/>
  <c r="Y10" i="7"/>
  <c r="X18" i="7"/>
  <c r="Y16" i="7"/>
  <c r="Y14" i="7"/>
  <c r="Z12" i="7"/>
  <c r="Z10" i="7"/>
  <c r="AB19" i="7"/>
  <c r="AC17" i="7"/>
  <c r="AC15" i="7"/>
  <c r="AD13" i="7"/>
  <c r="AC11" i="7"/>
  <c r="Y19" i="7"/>
  <c r="Y17" i="7"/>
  <c r="Y15" i="7"/>
  <c r="Y13" i="7"/>
  <c r="Y11" i="7"/>
  <c r="AE18" i="7"/>
  <c r="AA16" i="7"/>
  <c r="AE13" i="7"/>
  <c r="X11" i="7"/>
  <c r="AD18" i="7"/>
  <c r="Z16" i="7"/>
  <c r="AB13" i="7"/>
  <c r="AE10" i="7"/>
  <c r="AA18" i="7"/>
  <c r="AD15" i="7"/>
  <c r="AE12" i="7"/>
  <c r="AC10" i="7"/>
  <c r="Y18" i="7"/>
  <c r="AB15" i="7"/>
  <c r="AD12" i="7"/>
  <c r="AB10" i="7"/>
  <c r="AD19" i="7"/>
  <c r="AE15" i="7"/>
  <c r="Y12" i="7"/>
  <c r="AC19" i="7"/>
  <c r="AA15" i="7"/>
  <c r="AE11" i="7"/>
  <c r="Z19" i="7"/>
  <c r="AD14" i="7"/>
  <c r="Z11" i="7"/>
  <c r="AC18" i="7"/>
  <c r="AC14" i="7"/>
  <c r="AD10" i="7"/>
  <c r="AD17" i="7"/>
  <c r="Z14" i="7"/>
  <c r="AA17" i="7"/>
  <c r="X14" i="7"/>
  <c r="AE17" i="7"/>
  <c r="Z17" i="7"/>
  <c r="X17" i="7"/>
  <c r="AA19" i="7"/>
  <c r="AD16" i="7"/>
  <c r="AA12" i="7"/>
  <c r="AB16" i="7"/>
  <c r="AE14" i="7"/>
  <c r="AA11" i="7"/>
  <c r="AA14" i="7"/>
  <c r="Z13" i="7"/>
  <c r="AC12" i="7"/>
  <c r="AB12" i="7"/>
  <c r="O19" i="12"/>
  <c r="O15" i="12"/>
  <c r="O11" i="12"/>
  <c r="O7" i="12"/>
  <c r="N18" i="12"/>
  <c r="N14" i="12"/>
  <c r="N10" i="12"/>
  <c r="M18" i="12"/>
  <c r="M14" i="12"/>
  <c r="M10" i="12"/>
  <c r="N16" i="12"/>
  <c r="M11" i="12"/>
  <c r="N15" i="12"/>
  <c r="O9" i="12"/>
  <c r="M15" i="12"/>
  <c r="N9" i="12"/>
  <c r="N19" i="12"/>
  <c r="O13" i="12"/>
  <c r="O8" i="12"/>
  <c r="M19" i="12"/>
  <c r="N13" i="12"/>
  <c r="N8" i="12"/>
  <c r="O17" i="12"/>
  <c r="O12" i="12"/>
  <c r="N7" i="12"/>
  <c r="N17" i="12"/>
  <c r="N12" i="12"/>
  <c r="M7" i="12"/>
  <c r="O18" i="12"/>
  <c r="M16" i="12"/>
  <c r="O14" i="12"/>
  <c r="M12" i="12"/>
  <c r="M17" i="12"/>
  <c r="M13" i="12"/>
  <c r="O10" i="12"/>
  <c r="M9" i="12"/>
  <c r="M8" i="12"/>
  <c r="O16" i="12"/>
  <c r="N11" i="12"/>
  <c r="L19" i="7"/>
  <c r="G19" i="7"/>
  <c r="K17" i="7"/>
  <c r="G16" i="7"/>
  <c r="K14" i="7"/>
  <c r="G13" i="7"/>
  <c r="K11" i="7"/>
  <c r="G10" i="7"/>
  <c r="M18" i="7"/>
  <c r="I17" i="7"/>
  <c r="M15" i="7"/>
  <c r="K18" i="7"/>
  <c r="M16" i="7"/>
  <c r="G15" i="7"/>
  <c r="J13" i="7"/>
  <c r="M11" i="7"/>
  <c r="H10" i="7"/>
  <c r="H18" i="7"/>
  <c r="J16" i="7"/>
  <c r="L14" i="7"/>
  <c r="F13" i="7"/>
  <c r="I11" i="7"/>
  <c r="K19" i="7"/>
  <c r="M17" i="7"/>
  <c r="F16" i="7"/>
  <c r="H14" i="7"/>
  <c r="K12" i="7"/>
  <c r="F11" i="7"/>
  <c r="I18" i="7"/>
  <c r="L15" i="7"/>
  <c r="L13" i="7"/>
  <c r="J11" i="7"/>
  <c r="G18" i="7"/>
  <c r="K15" i="7"/>
  <c r="K13" i="7"/>
  <c r="H11" i="7"/>
  <c r="L17" i="7"/>
  <c r="I15" i="7"/>
  <c r="H13" i="7"/>
  <c r="M10" i="7"/>
  <c r="J17" i="7"/>
  <c r="H15" i="7"/>
  <c r="M12" i="7"/>
  <c r="L10" i="7"/>
  <c r="L16" i="7"/>
  <c r="I13" i="7"/>
  <c r="F10" i="7"/>
  <c r="M19" i="7"/>
  <c r="K16" i="7"/>
  <c r="L12" i="7"/>
  <c r="I19" i="7"/>
  <c r="H16" i="7"/>
  <c r="I12" i="7"/>
  <c r="H19" i="7"/>
  <c r="J15" i="7"/>
  <c r="H12" i="7"/>
  <c r="L18" i="7"/>
  <c r="M14" i="7"/>
  <c r="F12" i="7"/>
  <c r="J18" i="7"/>
  <c r="J14" i="7"/>
  <c r="L11" i="7"/>
  <c r="F15" i="7"/>
  <c r="I14" i="7"/>
  <c r="G14" i="7"/>
  <c r="J10" i="7"/>
  <c r="I10" i="7"/>
  <c r="F14" i="7"/>
  <c r="I16" i="7"/>
  <c r="M13" i="7"/>
  <c r="J19" i="7"/>
  <c r="J12" i="7"/>
  <c r="F19" i="7"/>
  <c r="G12" i="7"/>
  <c r="F18" i="7"/>
  <c r="G11" i="7"/>
  <c r="H17" i="7"/>
  <c r="K10" i="7"/>
  <c r="G17" i="7"/>
  <c r="F17" i="7"/>
  <c r="AA19" i="12"/>
  <c r="AA15" i="12"/>
  <c r="AA11" i="12"/>
  <c r="AA7" i="12"/>
  <c r="Z18" i="12"/>
  <c r="Z14" i="12"/>
  <c r="Z10" i="12"/>
  <c r="Y18" i="12"/>
  <c r="Y14" i="12"/>
  <c r="Y10" i="12"/>
  <c r="Y19" i="12"/>
  <c r="Z13" i="12"/>
  <c r="Z8" i="12"/>
  <c r="AA17" i="12"/>
  <c r="AA12" i="12"/>
  <c r="Z7" i="12"/>
  <c r="Z17" i="12"/>
  <c r="Z12" i="12"/>
  <c r="Y7" i="12"/>
  <c r="AA16" i="12"/>
  <c r="Z11" i="12"/>
  <c r="Z16" i="12"/>
  <c r="Y11" i="12"/>
  <c r="Z15" i="12"/>
  <c r="AA9" i="12"/>
  <c r="Y15" i="12"/>
  <c r="Z9" i="12"/>
  <c r="Y17" i="12"/>
  <c r="AA13" i="12"/>
  <c r="Y13" i="12"/>
  <c r="AA10" i="12"/>
  <c r="AA18" i="12"/>
  <c r="Y16" i="12"/>
  <c r="Y12" i="12"/>
  <c r="Z19" i="12"/>
  <c r="AA14" i="12"/>
  <c r="Y9" i="12"/>
  <c r="Y8" i="12"/>
  <c r="AA8" i="12"/>
  <c r="E35" i="4"/>
  <c r="E31" i="4"/>
  <c r="G36" i="4"/>
  <c r="F32" i="4"/>
  <c r="E28" i="4"/>
  <c r="E24" i="4"/>
  <c r="E20" i="4"/>
  <c r="E16" i="4"/>
  <c r="E12" i="4"/>
  <c r="G35" i="4"/>
  <c r="F31" i="4"/>
  <c r="E27" i="4"/>
  <c r="E23" i="4"/>
  <c r="E19" i="4"/>
  <c r="E15" i="4"/>
  <c r="E11" i="4"/>
  <c r="F35" i="4"/>
  <c r="G30" i="4"/>
  <c r="G26" i="4"/>
  <c r="G22" i="4"/>
  <c r="G18" i="4"/>
  <c r="G14" i="4"/>
  <c r="E32" i="4"/>
  <c r="E26" i="4"/>
  <c r="E21" i="4"/>
  <c r="G15" i="4"/>
  <c r="G31" i="4"/>
  <c r="G25" i="4"/>
  <c r="F36" i="4"/>
  <c r="E30" i="4"/>
  <c r="E25" i="4"/>
  <c r="G19" i="4"/>
  <c r="E14" i="4"/>
  <c r="E36" i="4"/>
  <c r="G29" i="4"/>
  <c r="G24" i="4"/>
  <c r="F19" i="4"/>
  <c r="G13" i="4"/>
  <c r="F34" i="4"/>
  <c r="E29" i="4"/>
  <c r="G23" i="4"/>
  <c r="E18" i="4"/>
  <c r="E13" i="4"/>
  <c r="E34" i="4"/>
  <c r="F25" i="4"/>
  <c r="E17" i="4"/>
  <c r="G33" i="4"/>
  <c r="F24" i="4"/>
  <c r="G16" i="4"/>
  <c r="F33" i="4"/>
  <c r="F23" i="4"/>
  <c r="F16" i="4"/>
  <c r="F18" i="4"/>
  <c r="F27" i="4"/>
  <c r="E33" i="4"/>
  <c r="F22" i="4"/>
  <c r="F15" i="4"/>
  <c r="F26" i="4"/>
  <c r="G32" i="4"/>
  <c r="E22" i="4"/>
  <c r="F14" i="4"/>
  <c r="F30" i="4"/>
  <c r="G21" i="4"/>
  <c r="F13" i="4"/>
  <c r="G11" i="4"/>
  <c r="G17" i="4"/>
  <c r="F29" i="4"/>
  <c r="F21" i="4"/>
  <c r="G12" i="4"/>
  <c r="G28" i="4"/>
  <c r="G20" i="4"/>
  <c r="F12" i="4"/>
  <c r="F28" i="4"/>
  <c r="F20" i="4"/>
  <c r="G27" i="4"/>
  <c r="F11" i="4"/>
  <c r="G34" i="4"/>
  <c r="F17" i="4"/>
  <c r="T18" i="7"/>
  <c r="P17" i="7"/>
  <c r="T15" i="7"/>
  <c r="P14" i="7"/>
  <c r="T12" i="7"/>
  <c r="P11" i="7"/>
  <c r="V18" i="7"/>
  <c r="Q17" i="7"/>
  <c r="S15" i="7"/>
  <c r="V13" i="7"/>
  <c r="Q12" i="7"/>
  <c r="T10" i="7"/>
  <c r="S18" i="7"/>
  <c r="V16" i="7"/>
  <c r="Q15" i="7"/>
  <c r="T13" i="7"/>
  <c r="O12" i="7"/>
  <c r="R10" i="7"/>
  <c r="Q18" i="7"/>
  <c r="R16" i="7"/>
  <c r="S14" i="7"/>
  <c r="S12" i="7"/>
  <c r="S10" i="7"/>
  <c r="U19" i="7"/>
  <c r="V17" i="7"/>
  <c r="O16" i="7"/>
  <c r="O14" i="7"/>
  <c r="V11" i="7"/>
  <c r="O10" i="7"/>
  <c r="R19" i="7"/>
  <c r="S17" i="7"/>
  <c r="R15" i="7"/>
  <c r="R13" i="7"/>
  <c r="S11" i="7"/>
  <c r="U18" i="7"/>
  <c r="P16" i="7"/>
  <c r="Q13" i="7"/>
  <c r="V10" i="7"/>
  <c r="R18" i="7"/>
  <c r="V15" i="7"/>
  <c r="P13" i="7"/>
  <c r="U10" i="7"/>
  <c r="O18" i="7"/>
  <c r="P15" i="7"/>
  <c r="V12" i="7"/>
  <c r="P10" i="7"/>
  <c r="U17" i="7"/>
  <c r="O15" i="7"/>
  <c r="U12" i="7"/>
  <c r="P18" i="7"/>
  <c r="R14" i="7"/>
  <c r="Q10" i="7"/>
  <c r="T17" i="7"/>
  <c r="Q14" i="7"/>
  <c r="O17" i="7"/>
  <c r="S13" i="7"/>
  <c r="U16" i="7"/>
  <c r="O13" i="7"/>
  <c r="V19" i="7"/>
  <c r="S16" i="7"/>
  <c r="P12" i="7"/>
  <c r="T19" i="7"/>
  <c r="Q16" i="7"/>
  <c r="U11" i="7"/>
  <c r="R12" i="7"/>
  <c r="S19" i="7"/>
  <c r="T11" i="7"/>
  <c r="Q19" i="7"/>
  <c r="R11" i="7"/>
  <c r="U14" i="7"/>
  <c r="P19" i="7"/>
  <c r="Q11" i="7"/>
  <c r="O19" i="7"/>
  <c r="O11" i="7"/>
  <c r="R17" i="7"/>
  <c r="T14" i="7"/>
  <c r="T16" i="7"/>
  <c r="U15" i="7"/>
  <c r="V14" i="7"/>
  <c r="U13" i="7"/>
  <c r="J27" i="10"/>
  <c r="M27" i="10"/>
  <c r="L27" i="10"/>
  <c r="I27" i="10"/>
  <c r="H27" i="10"/>
  <c r="K27" i="10"/>
  <c r="H14" i="8"/>
  <c r="H12" i="8"/>
  <c r="J14" i="8"/>
  <c r="I12" i="8"/>
  <c r="M13" i="8"/>
  <c r="L11" i="8"/>
  <c r="I13" i="8"/>
  <c r="L12" i="8"/>
  <c r="K12" i="8"/>
  <c r="L14" i="8"/>
  <c r="M11" i="8"/>
  <c r="J11" i="8"/>
  <c r="I11" i="8"/>
  <c r="K14" i="8"/>
  <c r="I14" i="8"/>
  <c r="H11" i="8"/>
  <c r="M14" i="8"/>
  <c r="K13" i="8"/>
  <c r="J13" i="8"/>
  <c r="L13" i="8"/>
  <c r="H13" i="8"/>
  <c r="M12" i="8"/>
  <c r="J12" i="8"/>
  <c r="K11" i="8"/>
  <c r="R18" i="12"/>
  <c r="R14" i="12"/>
  <c r="R10" i="12"/>
  <c r="Q17" i="12"/>
  <c r="Q13" i="12"/>
  <c r="Q9" i="12"/>
  <c r="S16" i="12"/>
  <c r="S12" i="12"/>
  <c r="S8" i="12"/>
  <c r="Q19" i="12"/>
  <c r="S13" i="12"/>
  <c r="Q8" i="12"/>
  <c r="Q18" i="12"/>
  <c r="R12" i="12"/>
  <c r="R7" i="12"/>
  <c r="S17" i="12"/>
  <c r="Q12" i="12"/>
  <c r="Q7" i="12"/>
  <c r="R16" i="12"/>
  <c r="R11" i="12"/>
  <c r="Q16" i="12"/>
  <c r="Q11" i="12"/>
  <c r="R15" i="12"/>
  <c r="Q10" i="12"/>
  <c r="Q15" i="12"/>
  <c r="S9" i="12"/>
  <c r="S18" i="12"/>
  <c r="S14" i="12"/>
  <c r="Q14" i="12"/>
  <c r="S11" i="12"/>
  <c r="R9" i="12"/>
  <c r="R8" i="12"/>
  <c r="S19" i="12"/>
  <c r="R19" i="12"/>
  <c r="S15" i="12"/>
  <c r="R13" i="12"/>
  <c r="S7" i="12"/>
  <c r="R17" i="12"/>
  <c r="S10" i="12"/>
  <c r="AD18" i="12"/>
  <c r="AD14" i="12"/>
  <c r="AD10" i="12"/>
  <c r="AC17" i="12"/>
  <c r="AC13" i="12"/>
  <c r="AC9" i="12"/>
  <c r="AE16" i="12"/>
  <c r="AE12" i="12"/>
  <c r="AE8" i="12"/>
  <c r="AC16" i="12"/>
  <c r="AC11" i="12"/>
  <c r="AD15" i="12"/>
  <c r="AC10" i="12"/>
  <c r="AC15" i="12"/>
  <c r="AE9" i="12"/>
  <c r="AD19" i="12"/>
  <c r="AC14" i="12"/>
  <c r="AD8" i="12"/>
  <c r="AC19" i="12"/>
  <c r="AE13" i="12"/>
  <c r="AC8" i="12"/>
  <c r="AC18" i="12"/>
  <c r="AD12" i="12"/>
  <c r="AD7" i="12"/>
  <c r="AE17" i="12"/>
  <c r="AC12" i="12"/>
  <c r="AC7" i="12"/>
  <c r="AD16" i="12"/>
  <c r="AD13" i="12"/>
  <c r="AE11" i="12"/>
  <c r="AE10" i="12"/>
  <c r="AE7" i="12"/>
  <c r="AE18" i="12"/>
  <c r="AE19" i="12"/>
  <c r="AE15" i="12"/>
  <c r="AE14" i="12"/>
  <c r="AD9" i="12"/>
  <c r="AD17" i="12"/>
  <c r="AD11" i="12"/>
  <c r="T11" i="8"/>
  <c r="R11" i="8"/>
  <c r="O11" i="8"/>
  <c r="Q11" i="8"/>
  <c r="P11" i="8"/>
  <c r="S11" i="8"/>
  <c r="K22" i="10"/>
  <c r="K20" i="10"/>
  <c r="J23" i="10"/>
  <c r="I21" i="10"/>
  <c r="H23" i="10"/>
  <c r="M20" i="10"/>
  <c r="I23" i="10"/>
  <c r="J20" i="10"/>
  <c r="J22" i="10"/>
  <c r="I22" i="10"/>
  <c r="M21" i="10"/>
  <c r="K21" i="10"/>
  <c r="J21" i="10"/>
  <c r="L20" i="10"/>
  <c r="I20" i="10"/>
  <c r="L23" i="10"/>
  <c r="M23" i="10"/>
  <c r="K23" i="10"/>
  <c r="L22" i="10"/>
  <c r="H22" i="10"/>
  <c r="M22" i="10"/>
  <c r="L21" i="10"/>
  <c r="H21" i="10"/>
  <c r="H20" i="10"/>
  <c r="G38" i="6"/>
  <c r="G34" i="6"/>
  <c r="G30" i="6"/>
  <c r="G26" i="6"/>
  <c r="G22" i="6"/>
  <c r="G18" i="6"/>
  <c r="F38" i="6"/>
  <c r="E34" i="6"/>
  <c r="G29" i="6"/>
  <c r="F25" i="6"/>
  <c r="E21" i="6"/>
  <c r="G16" i="6"/>
  <c r="G41" i="6"/>
  <c r="F37" i="6"/>
  <c r="G40" i="6"/>
  <c r="F36" i="6"/>
  <c r="E32" i="6"/>
  <c r="G27" i="6"/>
  <c r="F23" i="6"/>
  <c r="E19" i="6"/>
  <c r="G14" i="6"/>
  <c r="F40" i="6"/>
  <c r="E35" i="6"/>
  <c r="F29" i="6"/>
  <c r="F24" i="6"/>
  <c r="F19" i="6"/>
  <c r="E14" i="6"/>
  <c r="E40" i="6"/>
  <c r="F34" i="6"/>
  <c r="E29" i="6"/>
  <c r="E24" i="6"/>
  <c r="F18" i="6"/>
  <c r="G13" i="6"/>
  <c r="F39" i="6"/>
  <c r="F33" i="6"/>
  <c r="F28" i="6"/>
  <c r="E23" i="6"/>
  <c r="G17" i="6"/>
  <c r="E13" i="6"/>
  <c r="E39" i="6"/>
  <c r="E33" i="6"/>
  <c r="E28" i="6"/>
  <c r="F22" i="6"/>
  <c r="F17" i="6"/>
  <c r="G33" i="6"/>
  <c r="E26" i="6"/>
  <c r="E18" i="6"/>
  <c r="G32" i="6"/>
  <c r="G25" i="6"/>
  <c r="E17" i="6"/>
  <c r="E41" i="6"/>
  <c r="G31" i="6"/>
  <c r="G24" i="6"/>
  <c r="E16" i="6"/>
  <c r="G39" i="6"/>
  <c r="F31" i="6"/>
  <c r="G23" i="6"/>
  <c r="G15" i="6"/>
  <c r="G37" i="6"/>
  <c r="F30" i="6"/>
  <c r="G21" i="6"/>
  <c r="E15" i="6"/>
  <c r="E37" i="6"/>
  <c r="E30" i="6"/>
  <c r="E38" i="6"/>
  <c r="E22" i="6"/>
  <c r="G36" i="6"/>
  <c r="F21" i="6"/>
  <c r="E36" i="6"/>
  <c r="G20" i="6"/>
  <c r="F26" i="6"/>
  <c r="F41" i="6"/>
  <c r="G35" i="6"/>
  <c r="F20" i="6"/>
  <c r="F35" i="6"/>
  <c r="E20" i="6"/>
  <c r="F32" i="6"/>
  <c r="G19" i="6"/>
  <c r="F13" i="6"/>
  <c r="E25" i="6"/>
  <c r="E31" i="6"/>
  <c r="F16" i="6"/>
  <c r="G28" i="6"/>
  <c r="F15" i="6"/>
  <c r="F27" i="6"/>
  <c r="F14" i="6"/>
  <c r="E27" i="6"/>
  <c r="I29" i="7"/>
  <c r="I26" i="7"/>
  <c r="I23" i="7"/>
  <c r="H29" i="7"/>
  <c r="G26" i="7"/>
  <c r="F23" i="7"/>
  <c r="F29" i="7"/>
  <c r="I25" i="7"/>
  <c r="I30" i="7"/>
  <c r="F27" i="7"/>
  <c r="F30" i="7"/>
  <c r="H25" i="7"/>
  <c r="G29" i="7"/>
  <c r="G25" i="7"/>
  <c r="H28" i="7"/>
  <c r="I24" i="7"/>
  <c r="H26" i="7"/>
  <c r="F26" i="7"/>
  <c r="H24" i="7"/>
  <c r="H30" i="7"/>
  <c r="G24" i="7"/>
  <c r="G30" i="7"/>
  <c r="G28" i="7"/>
  <c r="F28" i="7"/>
  <c r="H27" i="7"/>
  <c r="G27" i="7"/>
  <c r="H23" i="7"/>
  <c r="G23" i="7"/>
  <c r="I28" i="7"/>
  <c r="I27" i="7"/>
  <c r="F25" i="7"/>
  <c r="F24" i="7"/>
  <c r="H16" i="10"/>
  <c r="H14" i="10"/>
  <c r="L15" i="10"/>
  <c r="K13" i="10"/>
  <c r="J15" i="10"/>
  <c r="I13" i="10"/>
  <c r="K15" i="10"/>
  <c r="M14" i="10"/>
  <c r="L14" i="10"/>
  <c r="M16" i="10"/>
  <c r="J14" i="10"/>
  <c r="I15" i="10"/>
  <c r="H15" i="10"/>
  <c r="I14" i="10"/>
  <c r="M13" i="10"/>
  <c r="L16" i="10"/>
  <c r="K16" i="10"/>
  <c r="I16" i="10"/>
  <c r="M15" i="10"/>
  <c r="J13" i="10"/>
  <c r="H13" i="10"/>
  <c r="J16" i="10"/>
  <c r="K14" i="10"/>
  <c r="L13" i="10"/>
  <c r="U17" i="12"/>
  <c r="U13" i="12"/>
  <c r="U9" i="12"/>
  <c r="W19" i="12"/>
  <c r="W15" i="12"/>
  <c r="W11" i="12"/>
  <c r="W7" i="12"/>
  <c r="V19" i="12"/>
  <c r="V15" i="12"/>
  <c r="V11" i="12"/>
  <c r="V7" i="12"/>
  <c r="V16" i="12"/>
  <c r="W10" i="12"/>
  <c r="U15" i="12"/>
  <c r="U10" i="12"/>
  <c r="W14" i="12"/>
  <c r="W9" i="12"/>
  <c r="U19" i="12"/>
  <c r="U14" i="12"/>
  <c r="W8" i="12"/>
  <c r="W18" i="12"/>
  <c r="W13" i="12"/>
  <c r="V8" i="12"/>
  <c r="U18" i="12"/>
  <c r="W12" i="12"/>
  <c r="U7" i="12"/>
  <c r="W17" i="12"/>
  <c r="V12" i="12"/>
  <c r="V17" i="12"/>
  <c r="V14" i="12"/>
  <c r="V13" i="12"/>
  <c r="U11" i="12"/>
  <c r="W16" i="12"/>
  <c r="U16" i="12"/>
  <c r="V10" i="12"/>
  <c r="V9" i="12"/>
  <c r="V18" i="12"/>
  <c r="U8" i="12"/>
  <c r="U12" i="12"/>
  <c r="O43" i="11"/>
  <c r="O39" i="11"/>
  <c r="O35" i="11"/>
  <c r="O31" i="11"/>
  <c r="O27" i="11"/>
  <c r="O23" i="11"/>
  <c r="O19" i="11"/>
  <c r="O15" i="11"/>
  <c r="N42" i="11"/>
  <c r="N38" i="11"/>
  <c r="N34" i="11"/>
  <c r="N30" i="11"/>
  <c r="N26" i="11"/>
  <c r="N22" i="11"/>
  <c r="N18" i="11"/>
  <c r="N14" i="11"/>
  <c r="N40" i="11"/>
  <c r="N35" i="11"/>
  <c r="O30" i="11"/>
  <c r="O25" i="11"/>
  <c r="M21" i="11"/>
  <c r="N16" i="11"/>
  <c r="N39" i="11"/>
  <c r="O34" i="11"/>
  <c r="O29" i="11"/>
  <c r="M25" i="11"/>
  <c r="N20" i="11"/>
  <c r="N15" i="11"/>
  <c r="M39" i="11"/>
  <c r="M34" i="11"/>
  <c r="N29" i="11"/>
  <c r="O24" i="11"/>
  <c r="M20" i="11"/>
  <c r="M15" i="11"/>
  <c r="M43" i="11"/>
  <c r="M38" i="11"/>
  <c r="N33" i="11"/>
  <c r="O28" i="11"/>
  <c r="M24" i="11"/>
  <c r="M19" i="11"/>
  <c r="O42" i="11"/>
  <c r="O37" i="11"/>
  <c r="M33" i="11"/>
  <c r="N28" i="11"/>
  <c r="N23" i="11"/>
  <c r="O18" i="11"/>
  <c r="O41" i="11"/>
  <c r="M37" i="11"/>
  <c r="N32" i="11"/>
  <c r="N27" i="11"/>
  <c r="O22" i="11"/>
  <c r="O17" i="11"/>
  <c r="N41" i="11"/>
  <c r="O36" i="11"/>
  <c r="M32" i="11"/>
  <c r="M27" i="11"/>
  <c r="M22" i="11"/>
  <c r="N17" i="11"/>
  <c r="M35" i="11"/>
  <c r="M23" i="11"/>
  <c r="N43" i="11"/>
  <c r="N31" i="11"/>
  <c r="O20" i="11"/>
  <c r="M42" i="11"/>
  <c r="M31" i="11"/>
  <c r="N19" i="11"/>
  <c r="O40" i="11"/>
  <c r="M29" i="11"/>
  <c r="M17" i="11"/>
  <c r="O33" i="11"/>
  <c r="M16" i="11"/>
  <c r="O32" i="11"/>
  <c r="O14" i="11"/>
  <c r="M28" i="11"/>
  <c r="O26" i="11"/>
  <c r="M41" i="11"/>
  <c r="N25" i="11"/>
  <c r="O16" i="11"/>
  <c r="M40" i="11"/>
  <c r="M14" i="11"/>
  <c r="N37" i="11"/>
  <c r="N36" i="11"/>
  <c r="M30" i="11"/>
  <c r="M26" i="11"/>
  <c r="O21" i="11"/>
  <c r="N21" i="11"/>
  <c r="M18" i="11"/>
  <c r="O38" i="11"/>
  <c r="M36" i="11"/>
  <c r="N24" i="11"/>
  <c r="I17" i="12"/>
  <c r="I13" i="12"/>
  <c r="I9" i="12"/>
  <c r="K19" i="12"/>
  <c r="K15" i="12"/>
  <c r="K11" i="12"/>
  <c r="K7" i="12"/>
  <c r="J19" i="12"/>
  <c r="J15" i="12"/>
  <c r="K18" i="12"/>
  <c r="K13" i="12"/>
  <c r="K8" i="12"/>
  <c r="I18" i="12"/>
  <c r="K12" i="12"/>
  <c r="I8" i="12"/>
  <c r="K17" i="12"/>
  <c r="J12" i="12"/>
  <c r="J7" i="12"/>
  <c r="K16" i="12"/>
  <c r="J11" i="12"/>
  <c r="J16" i="12"/>
  <c r="I11" i="12"/>
  <c r="I15" i="12"/>
  <c r="J10" i="12"/>
  <c r="K14" i="12"/>
  <c r="I10" i="12"/>
  <c r="I19" i="12"/>
  <c r="I7" i="12"/>
  <c r="I16" i="12"/>
  <c r="J14" i="12"/>
  <c r="J13" i="12"/>
  <c r="J18" i="12"/>
  <c r="J17" i="12"/>
  <c r="I12" i="12"/>
  <c r="K10" i="12"/>
  <c r="J9" i="12"/>
  <c r="I14" i="12"/>
  <c r="J8" i="12"/>
  <c r="K9" i="12"/>
  <c r="F18" i="12"/>
  <c r="F14" i="12"/>
  <c r="F10" i="12"/>
  <c r="E17" i="12"/>
  <c r="E13" i="12"/>
  <c r="E9" i="12"/>
  <c r="F17" i="12"/>
  <c r="F12" i="12"/>
  <c r="G7" i="12"/>
  <c r="F16" i="12"/>
  <c r="G11" i="12"/>
  <c r="E7" i="12"/>
  <c r="E16" i="12"/>
  <c r="F11" i="12"/>
  <c r="F15" i="12"/>
  <c r="G10" i="12"/>
  <c r="G19" i="12"/>
  <c r="E15" i="12"/>
  <c r="E10" i="12"/>
  <c r="E19" i="12"/>
  <c r="E14" i="12"/>
  <c r="F9" i="12"/>
  <c r="G18" i="12"/>
  <c r="G13" i="12"/>
  <c r="G8" i="12"/>
  <c r="F8" i="12"/>
  <c r="G17" i="12"/>
  <c r="G16" i="12"/>
  <c r="G14" i="12"/>
  <c r="G12" i="12"/>
  <c r="E12" i="12"/>
  <c r="G9" i="12"/>
  <c r="E8" i="12"/>
  <c r="F7" i="12"/>
  <c r="F19" i="12"/>
  <c r="E18" i="12"/>
  <c r="G15" i="12"/>
  <c r="F13" i="12"/>
  <c r="E11" i="12"/>
  <c r="E37" i="12"/>
  <c r="E33" i="12"/>
  <c r="E29" i="12"/>
  <c r="G39" i="12"/>
  <c r="G35" i="12"/>
  <c r="G31" i="12"/>
  <c r="G27" i="12"/>
  <c r="F39" i="12"/>
  <c r="F35" i="12"/>
  <c r="F31" i="12"/>
  <c r="F27" i="12"/>
  <c r="E39" i="12"/>
  <c r="G38" i="12"/>
  <c r="G33" i="12"/>
  <c r="F28" i="12"/>
  <c r="E38" i="12"/>
  <c r="G32" i="12"/>
  <c r="E27" i="12"/>
  <c r="G37" i="12"/>
  <c r="F32" i="12"/>
  <c r="G36" i="12"/>
  <c r="E31" i="12"/>
  <c r="F36" i="12"/>
  <c r="G30" i="12"/>
  <c r="E35" i="12"/>
  <c r="E30" i="12"/>
  <c r="G34" i="12"/>
  <c r="G29" i="12"/>
  <c r="E36" i="12"/>
  <c r="F33" i="12"/>
  <c r="E32" i="12"/>
  <c r="F29" i="12"/>
  <c r="F34" i="12"/>
  <c r="E34" i="12"/>
  <c r="G28" i="12"/>
  <c r="E28" i="12"/>
  <c r="F30" i="12"/>
  <c r="F37" i="12"/>
  <c r="F38" i="12"/>
  <c r="B36" i="9"/>
  <c r="B32" i="9"/>
  <c r="B28" i="9"/>
  <c r="B24" i="9"/>
  <c r="B20" i="9"/>
  <c r="B16" i="9"/>
  <c r="A35" i="9"/>
  <c r="C30" i="9"/>
  <c r="B26" i="9"/>
  <c r="A22" i="9"/>
  <c r="C17" i="9"/>
  <c r="B13" i="9"/>
  <c r="B34" i="9"/>
  <c r="A30" i="9"/>
  <c r="C25" i="9"/>
  <c r="B21" i="9"/>
  <c r="A17" i="9"/>
  <c r="A33" i="9"/>
  <c r="C27" i="9"/>
  <c r="C22" i="9"/>
  <c r="B17" i="9"/>
  <c r="A37" i="9"/>
  <c r="C31" i="9"/>
  <c r="C26" i="9"/>
  <c r="A21" i="9"/>
  <c r="C15" i="9"/>
  <c r="C36" i="9"/>
  <c r="B31" i="9"/>
  <c r="A26" i="9"/>
  <c r="C20" i="9"/>
  <c r="B15" i="9"/>
  <c r="C35" i="9"/>
  <c r="B30" i="9"/>
  <c r="A25" i="9"/>
  <c r="C19" i="9"/>
  <c r="C14" i="9"/>
  <c r="C34" i="9"/>
  <c r="B27" i="9"/>
  <c r="A19" i="9"/>
  <c r="A34" i="9"/>
  <c r="A27" i="9"/>
  <c r="C18" i="9"/>
  <c r="B33" i="9"/>
  <c r="C24" i="9"/>
  <c r="A18" i="9"/>
  <c r="C32" i="9"/>
  <c r="A24" i="9"/>
  <c r="C16" i="9"/>
  <c r="C37" i="9"/>
  <c r="B25" i="9"/>
  <c r="A14" i="9"/>
  <c r="B37" i="9"/>
  <c r="C23" i="9"/>
  <c r="C13" i="9"/>
  <c r="B35" i="9"/>
  <c r="A23" i="9"/>
  <c r="C33" i="9"/>
  <c r="B22" i="9"/>
  <c r="A31" i="9"/>
  <c r="A20" i="9"/>
  <c r="C29" i="9"/>
  <c r="B19" i="9"/>
  <c r="A32" i="9"/>
  <c r="B29" i="9"/>
  <c r="A29" i="9"/>
  <c r="C28" i="9"/>
  <c r="A36" i="9"/>
  <c r="A28" i="9"/>
  <c r="B23" i="9"/>
  <c r="C21" i="9"/>
  <c r="B18" i="9"/>
  <c r="A16" i="9"/>
  <c r="A15" i="9"/>
  <c r="B14" i="9"/>
  <c r="A13" i="9"/>
  <c r="F40" i="11"/>
  <c r="F36" i="11"/>
  <c r="F32" i="11"/>
  <c r="F28" i="11"/>
  <c r="F24" i="11"/>
  <c r="F20" i="11"/>
  <c r="F16" i="11"/>
  <c r="G40" i="11"/>
  <c r="E36" i="11"/>
  <c r="G31" i="11"/>
  <c r="F27" i="11"/>
  <c r="E23" i="11"/>
  <c r="G18" i="11"/>
  <c r="F14" i="11"/>
  <c r="G39" i="11"/>
  <c r="F35" i="11"/>
  <c r="E31" i="11"/>
  <c r="G26" i="11"/>
  <c r="F22" i="11"/>
  <c r="E18" i="11"/>
  <c r="G43" i="11"/>
  <c r="F39" i="11"/>
  <c r="E35" i="11"/>
  <c r="G30" i="11"/>
  <c r="F26" i="11"/>
  <c r="G42" i="11"/>
  <c r="F37" i="11"/>
  <c r="F31" i="11"/>
  <c r="F25" i="11"/>
  <c r="E20" i="11"/>
  <c r="E15" i="11"/>
  <c r="G41" i="11"/>
  <c r="G35" i="11"/>
  <c r="G29" i="11"/>
  <c r="E24" i="11"/>
  <c r="E19" i="11"/>
  <c r="F41" i="11"/>
  <c r="G34" i="11"/>
  <c r="F29" i="11"/>
  <c r="G23" i="11"/>
  <c r="F18" i="11"/>
  <c r="E40" i="11"/>
  <c r="E34" i="11"/>
  <c r="G28" i="11"/>
  <c r="G22" i="11"/>
  <c r="F17" i="11"/>
  <c r="G38" i="11"/>
  <c r="F30" i="11"/>
  <c r="G21" i="11"/>
  <c r="G14" i="11"/>
  <c r="F38" i="11"/>
  <c r="E30" i="11"/>
  <c r="F21" i="11"/>
  <c r="E14" i="11"/>
  <c r="G37" i="11"/>
  <c r="E28" i="11"/>
  <c r="G20" i="11"/>
  <c r="E37" i="11"/>
  <c r="G27" i="11"/>
  <c r="G19" i="11"/>
  <c r="F43" i="11"/>
  <c r="F34" i="11"/>
  <c r="E26" i="11"/>
  <c r="G17" i="11"/>
  <c r="E43" i="11"/>
  <c r="E29" i="11"/>
  <c r="G15" i="11"/>
  <c r="F42" i="11"/>
  <c r="E27" i="11"/>
  <c r="F15" i="11"/>
  <c r="E41" i="11"/>
  <c r="E25" i="11"/>
  <c r="E39" i="11"/>
  <c r="G24" i="11"/>
  <c r="G36" i="11"/>
  <c r="E22" i="11"/>
  <c r="G33" i="11"/>
  <c r="E21" i="11"/>
  <c r="E42" i="11"/>
  <c r="E38" i="11"/>
  <c r="F33" i="11"/>
  <c r="E16" i="11"/>
  <c r="E33" i="11"/>
  <c r="E32" i="11"/>
  <c r="G32" i="11"/>
  <c r="G25" i="11"/>
  <c r="F23" i="11"/>
  <c r="F19" i="11"/>
  <c r="E17" i="11"/>
  <c r="G16" i="11"/>
  <c r="I42" i="11"/>
  <c r="I38" i="11"/>
  <c r="I34" i="11"/>
  <c r="I30" i="11"/>
  <c r="I26" i="11"/>
  <c r="I22" i="11"/>
  <c r="I18" i="11"/>
  <c r="I14" i="11"/>
  <c r="K40" i="11"/>
  <c r="K36" i="11"/>
  <c r="K32" i="11"/>
  <c r="K41" i="11"/>
  <c r="I37" i="11"/>
  <c r="I32" i="11"/>
  <c r="K27" i="11"/>
  <c r="J23" i="11"/>
  <c r="I19" i="11"/>
  <c r="K14" i="11"/>
  <c r="I41" i="11"/>
  <c r="I36" i="11"/>
  <c r="J31" i="11"/>
  <c r="I27" i="11"/>
  <c r="K22" i="11"/>
  <c r="J18" i="11"/>
  <c r="J40" i="11"/>
  <c r="K35" i="11"/>
  <c r="I31" i="11"/>
  <c r="K26" i="11"/>
  <c r="J22" i="11"/>
  <c r="K17" i="11"/>
  <c r="J43" i="11"/>
  <c r="I43" i="11"/>
  <c r="J36" i="11"/>
  <c r="K29" i="11"/>
  <c r="J24" i="11"/>
  <c r="K18" i="11"/>
  <c r="J41" i="11"/>
  <c r="K34" i="11"/>
  <c r="K28" i="11"/>
  <c r="I23" i="11"/>
  <c r="K16" i="11"/>
  <c r="I40" i="11"/>
  <c r="J34" i="11"/>
  <c r="J28" i="11"/>
  <c r="K21" i="11"/>
  <c r="J16" i="11"/>
  <c r="J39" i="11"/>
  <c r="J33" i="11"/>
  <c r="J27" i="11"/>
  <c r="I21" i="11"/>
  <c r="K15" i="11"/>
  <c r="J35" i="11"/>
  <c r="K25" i="11"/>
  <c r="J17" i="11"/>
  <c r="I35" i="11"/>
  <c r="J25" i="11"/>
  <c r="I17" i="11"/>
  <c r="K43" i="11"/>
  <c r="I33" i="11"/>
  <c r="K24" i="11"/>
  <c r="J15" i="11"/>
  <c r="K42" i="11"/>
  <c r="J32" i="11"/>
  <c r="I24" i="11"/>
  <c r="I15" i="11"/>
  <c r="K39" i="11"/>
  <c r="K30" i="11"/>
  <c r="J21" i="11"/>
  <c r="I29" i="11"/>
  <c r="I28" i="11"/>
  <c r="I39" i="11"/>
  <c r="I25" i="11"/>
  <c r="K38" i="11"/>
  <c r="K23" i="11"/>
  <c r="K37" i="11"/>
  <c r="J20" i="11"/>
  <c r="J37" i="11"/>
  <c r="I20" i="11"/>
  <c r="J42" i="11"/>
  <c r="J38" i="11"/>
  <c r="K33" i="11"/>
  <c r="J19" i="11"/>
  <c r="K31" i="11"/>
  <c r="J29" i="11"/>
  <c r="J30" i="11"/>
  <c r="I16" i="11"/>
  <c r="J14" i="11"/>
  <c r="J26" i="11"/>
  <c r="K20" i="11"/>
  <c r="K19" i="11"/>
  <c r="K27" i="12"/>
  <c r="I27" i="12"/>
  <c r="J27" i="12"/>
  <c r="T15" i="10"/>
  <c r="T13" i="10"/>
  <c r="O16" i="10"/>
  <c r="S13" i="10"/>
  <c r="R15" i="10"/>
  <c r="Q13" i="10"/>
  <c r="S16" i="10"/>
  <c r="P14" i="10"/>
  <c r="P16" i="10"/>
  <c r="P13" i="10"/>
  <c r="S15" i="10"/>
  <c r="O13" i="10"/>
  <c r="P15" i="10"/>
  <c r="T14" i="10"/>
  <c r="S14" i="10"/>
  <c r="Q14" i="10"/>
  <c r="O14" i="10"/>
  <c r="R14" i="10"/>
  <c r="R13" i="10"/>
  <c r="T16" i="10"/>
  <c r="Q15" i="10"/>
  <c r="Q16" i="10"/>
  <c r="R16" i="10"/>
  <c r="Z15" i="10"/>
  <c r="Z13" i="10"/>
  <c r="W16" i="10"/>
  <c r="V14" i="10"/>
  <c r="AA15" i="10"/>
  <c r="Y13" i="10"/>
  <c r="V15" i="10"/>
  <c r="Y14" i="10"/>
  <c r="AA16" i="10"/>
  <c r="X14" i="10"/>
  <c r="Y16" i="10"/>
  <c r="AA13" i="10"/>
  <c r="Z16" i="10"/>
  <c r="W13" i="10"/>
  <c r="X13" i="10"/>
  <c r="Z14" i="10"/>
  <c r="AA14" i="10"/>
</calcChain>
</file>

<file path=xl/sharedStrings.xml><?xml version="1.0" encoding="utf-8"?>
<sst xmlns="http://schemas.openxmlformats.org/spreadsheetml/2006/main" count="300" uniqueCount="180">
  <si>
    <t>UDF_DataManipulation (DM) Demo</t>
  </si>
  <si>
    <t>In September 2018 Microsoft introduced 'dynamic array formulas' that can automatically populate or 'spill' into neighboring blank cells thus eliminating the need for legacy Ctrl+Shift+Enter array formulas. However the functionality is available for Office 365 subscribers only.</t>
  </si>
  <si>
    <t>All the functions presented here are capable to 'spill' because they return 1D/2D Arrays</t>
  </si>
  <si>
    <t>- DM_FILTER allows filtering on the returned result of another function without storing the result in a range and without knowing how many rows it will have</t>
  </si>
  <si>
    <t>- DM_SORT function allows case sensitive texts and can treat 'numbers stored as text' differently in the same way a Manual Excel Sort can (see Home/Editing/Custom Sort)</t>
  </si>
  <si>
    <t>- DM_UNIQUE function allows to choose the columns used for uniquifying (ex. by columns 1 and 3 out of 4 columns)</t>
  </si>
  <si>
    <t>Run UDF_DataManipulation.RegisterDMFunctions method if you want to add Argument Description in the Function Help for the Excel Function Arguments Dialog (fx on the formula bar or Shift + F3)</t>
  </si>
  <si>
    <t>DM_ARRAY UDF Demo</t>
  </si>
  <si>
    <t>Returns specified value(s) in a 1D or 2D array format</t>
  </si>
  <si>
    <t>Parameters (excluding source data)</t>
  </si>
  <si>
    <t>columnsCount</t>
  </si>
  <si>
    <t>the number of columns the output 2D array will have. Use 0 (zero) to return a 1D array (Excel will display it as 1-row 2D)</t>
  </si>
  <si>
    <t>Joining 5 different sources into a single 2D Array</t>
  </si>
  <si>
    <t>Source Data 1</t>
  </si>
  <si>
    <t>Output Data</t>
  </si>
  <si>
    <t>Source Data 2</t>
  </si>
  <si>
    <t>Source Data 3</t>
  </si>
  <si>
    <t>DM_FILTER UDF Demo</t>
  </si>
  <si>
    <t>Filters a 2D array (or a continuous Range) vertically by the specified column index</t>
  </si>
  <si>
    <t>Available Operators:</t>
  </si>
  <si>
    <t>- comparison operators: =, &lt;, &gt;, &lt;=, &gt;=, &lt;&gt;</t>
  </si>
  <si>
    <t>- inclusion operators: IN , NOT IN</t>
  </si>
  <si>
    <t>- pattern matching operators: LIKE, NOT LIKE</t>
  </si>
  <si>
    <t>Filtering by column 1</t>
  </si>
  <si>
    <t>Filtering by column 3</t>
  </si>
  <si>
    <t>Filtering by column 1 and 3</t>
  </si>
  <si>
    <t>Filtering by column 2</t>
  </si>
  <si>
    <t>Source Data</t>
  </si>
  <si>
    <t>Output Data 1</t>
  </si>
  <si>
    <t>Output Data 2</t>
  </si>
  <si>
    <t>Output Data 3</t>
  </si>
  <si>
    <t>Output Data 4</t>
  </si>
  <si>
    <t>A</t>
  </si>
  <si>
    <t>Vowel</t>
  </si>
  <si>
    <t>B</t>
  </si>
  <si>
    <t>Consonant</t>
  </si>
  <si>
    <t>C</t>
  </si>
  <si>
    <t>D</t>
  </si>
  <si>
    <t>E</t>
  </si>
  <si>
    <t>F</t>
  </si>
  <si>
    <t>G</t>
  </si>
  <si>
    <t>H</t>
  </si>
  <si>
    <t>I</t>
  </si>
  <si>
    <t>J</t>
  </si>
  <si>
    <t>K</t>
  </si>
  <si>
    <t>L</t>
  </si>
  <si>
    <t>M</t>
  </si>
  <si>
    <t>N</t>
  </si>
  <si>
    <t>O</t>
  </si>
  <si>
    <t>P</t>
  </si>
  <si>
    <t>Q</t>
  </si>
  <si>
    <t>R</t>
  </si>
  <si>
    <t>S</t>
  </si>
  <si>
    <t>T</t>
  </si>
  <si>
    <t>U</t>
  </si>
  <si>
    <t>V</t>
  </si>
  <si>
    <t>W</t>
  </si>
  <si>
    <t>X</t>
  </si>
  <si>
    <t>Y</t>
  </si>
  <si>
    <t>Z</t>
  </si>
  <si>
    <t>DM_INSERT UDF Demo</t>
  </si>
  <si>
    <t>Inserts rows in a 2D Array, once, below the specified row index</t>
  </si>
  <si>
    <t>rowsCount</t>
  </si>
  <si>
    <t>the number of rows to insert</t>
  </si>
  <si>
    <t>beforeRow</t>
  </si>
  <si>
    <t>the index of the row before which rows will be inserted</t>
  </si>
  <si>
    <t>inserting with chosen parameters</t>
  </si>
  <si>
    <t>DM_INSERT2 UDF Demo</t>
  </si>
  <si>
    <t>Inserts rows in a 2D Array between rows with different values (on the specified column) and optionally at the top and/or bottom of the array. Useful for later if adding subtotals and totals</t>
  </si>
  <si>
    <t>the number of rows to insert at each value change</t>
  </si>
  <si>
    <t>columnIndex</t>
  </si>
  <si>
    <t>the index of the column used for rows comparison</t>
  </si>
  <si>
    <t>topRowsCount</t>
  </si>
  <si>
    <t>[Optional] the number of rows to insert at the top/start of the array.Default is 0</t>
  </si>
  <si>
    <t>bottomRowsCount</t>
  </si>
  <si>
    <t>[Optional] the number of rows to insert at the bottom/end of the array. Default is 0</t>
  </si>
  <si>
    <t>Inserting with chosen parameters</t>
  </si>
  <si>
    <t>Notes:</t>
  </si>
  <si>
    <t>a</t>
  </si>
  <si>
    <t>b</t>
  </si>
  <si>
    <t>c</t>
  </si>
  <si>
    <t>DM_MERGE UDF Demo</t>
  </si>
  <si>
    <t>Merges/Combines two 1D/2D Arrays vertically or horizontally</t>
  </si>
  <si>
    <t>verticalMerge</t>
  </si>
  <si>
    <t>[Optional] True - arrays are combined vertically, False - arrays are combined horizontally (Default - when omitted)</t>
  </si>
  <si>
    <t>Merging  4x4 with 4x4. Can be merged both vertically and horizontally</t>
  </si>
  <si>
    <t>Merging  4x4 with 4x2. Can be merged horizontally but not vertically</t>
  </si>
  <si>
    <t>Merging  4x4 with 3x4. Can be merged vertically but not horizontally</t>
  </si>
  <si>
    <t>Note that using DM_ARRAY you can also merge vertically but not horizontally</t>
  </si>
  <si>
    <t>DM_REVERSE UDF Demo</t>
  </si>
  <si>
    <t>Reverses (in groups) a 1D/2D Array or a 1-Area (continuous) Range</t>
  </si>
  <si>
    <t>groupSize</t>
  </si>
  <si>
    <t>[Optional] the number of values in each group. Defaults to 1  when omitted</t>
  </si>
  <si>
    <t>verticalFlip</t>
  </si>
  <si>
    <t>[Optional] TRUE - reverse vertically, FALSE - reverse horizontally (Default - when omitted)</t>
  </si>
  <si>
    <t>Reversing a 2D Array/Range</t>
  </si>
  <si>
    <t>Reversing a 1D array</t>
  </si>
  <si>
    <t>DM_SEQUENCE UDF Demo</t>
  </si>
  <si>
    <t>Creates an arithmetic progression sequence as a 2D array</t>
  </si>
  <si>
    <t>Parameters</t>
  </si>
  <si>
    <t>the number of rows in the output 2D Array</t>
  </si>
  <si>
    <t>[Optional] the number of output columns. Defaults to 1 when omitted</t>
  </si>
  <si>
    <t>initialTerm</t>
  </si>
  <si>
    <t>[Optional] the value of the first term. Defaults to 1 when omitted</t>
  </si>
  <si>
    <t>commonDifference</t>
  </si>
  <si>
    <t>[Optional] the difference between any 2 consecutive terms. Defaults to 1 when omitted</t>
  </si>
  <si>
    <t>Sequence using the chosen parameters</t>
  </si>
  <si>
    <t>DM_SLICE UDF Demo</t>
  </si>
  <si>
    <t>Slices a 1D/2D Array or a 1-Area (continuous) Range</t>
  </si>
  <si>
    <t>startRow</t>
  </si>
  <si>
    <t>the index of the first row to be added to result</t>
  </si>
  <si>
    <t>startColumn</t>
  </si>
  <si>
    <t>the index of the first column to be added to result</t>
  </si>
  <si>
    <t>height</t>
  </si>
  <si>
    <t>width</t>
  </si>
  <si>
    <t>Slicing using a Range as input</t>
  </si>
  <si>
    <t>INDEX function and a Range as input. Extra height or width returns #REF!</t>
  </si>
  <si>
    <t>INDEX function and a Range as input. Extra height or width are ignored</t>
  </si>
  <si>
    <t>Output Data 5</t>
  </si>
  <si>
    <t>Slicing using a 2D Array as input</t>
  </si>
  <si>
    <t>DM_SLICE function ignores extra height and width!</t>
  </si>
  <si>
    <t>OFFSET can be used on Ranges but not on Arrays returned from another Function. Also OFFSET is Volatile and should be avoided</t>
  </si>
  <si>
    <t>The INDEX(…):INDEX() notation (used above) only works with Ranges so it will not work with an array input. Also, the syntax is just too complicated especially if extra height or width must be ignored</t>
  </si>
  <si>
    <t>Slicing using a 1D Array as input</t>
  </si>
  <si>
    <t>DM_SORT UDF Demo</t>
  </si>
  <si>
    <t>Sorts a 1D/2D Array or a 1-Area (continuous) Range vertically or horizontally. The sort is stable (the order for equal elements is preserved)</t>
  </si>
  <si>
    <t>sortIndex</t>
  </si>
  <si>
    <t>[Optional] the column/row to sort by. Defaults to 1 when omitted</t>
  </si>
  <si>
    <t>sortAscending</t>
  </si>
  <si>
    <t>[Optional] TRUE - Ascending (Default - when omitted), FALSE - Descending</t>
  </si>
  <si>
    <t>sortTextNumberAsNumber</t>
  </si>
  <si>
    <t>[Optional] TRUE - Sort anything that looks as a number, as a number (Default - when omitted), FALSE - Sort numbers stored as text as text</t>
  </si>
  <si>
    <t>caseSensitiveTexts</t>
  </si>
  <si>
    <t>[Optional] TRUE - Case Sensitive Texts, FALSE - Case Insensitive Texts (Default - when omitted)</t>
  </si>
  <si>
    <t>verticalSort</t>
  </si>
  <si>
    <t>[Optional] TRUE - Sort Vertically (Default - when omitted), FALSE - Sort Horizontally</t>
  </si>
  <si>
    <t>Sorting with default parameters</t>
  </si>
  <si>
    <t>Sorting with chosen parameters</t>
  </si>
  <si>
    <t>Sorting by column 3, then 2, then 1 with default parameters. Note that the sorts are performed in reverse in order to achieve the desired result. Also note that you can add any of the parameters differently for all 3 sorts which gives great flexibility</t>
  </si>
  <si>
    <t>Categ 2</t>
  </si>
  <si>
    <t>2</t>
  </si>
  <si>
    <t>Categ 1</t>
  </si>
  <si>
    <t>Categ 5</t>
  </si>
  <si>
    <t>aaa</t>
  </si>
  <si>
    <t>FALSE</t>
  </si>
  <si>
    <t>BB</t>
  </si>
  <si>
    <t>Categ 3</t>
  </si>
  <si>
    <t>53</t>
  </si>
  <si>
    <t>AAA</t>
  </si>
  <si>
    <t>Categ 4</t>
  </si>
  <si>
    <t>bbb</t>
  </si>
  <si>
    <t>BBB</t>
  </si>
  <si>
    <t>bBB</t>
  </si>
  <si>
    <t>1</t>
  </si>
  <si>
    <t>TRUE</t>
  </si>
  <si>
    <t>cc</t>
  </si>
  <si>
    <t>ccc</t>
  </si>
  <si>
    <t>DM_UNIQUE UDF Demo</t>
  </si>
  <si>
    <t>Returns an Array of unique values (uniquifying vertically or horizontally)</t>
  </si>
  <si>
    <t>Using all columns (0 can be omitted)</t>
  </si>
  <si>
    <t>Using columns 1 and 2</t>
  </si>
  <si>
    <t>Using columns 1 and 3</t>
  </si>
  <si>
    <t>Using columns 2 and 3</t>
  </si>
  <si>
    <t>Using column 1 only</t>
  </si>
  <si>
    <t>Using column 2 only</t>
  </si>
  <si>
    <t>Using columns 3 only</t>
  </si>
  <si>
    <t>Output Data 6</t>
  </si>
  <si>
    <t>Output Data 7</t>
  </si>
  <si>
    <t>indexes</t>
  </si>
  <si>
    <t>[Optional] the column/row index(es) to be used. Defaults to 0 (use all) when omitted. Can be an array e.g. {1,2}</t>
  </si>
  <si>
    <t>byColumn</t>
  </si>
  <si>
    <t>[Optional] True - uniquifies vertically (by column) (Default), False - uniquifies horizontally (by row)</t>
  </si>
  <si>
    <t>Using chosen parameters</t>
  </si>
  <si>
    <t>Using a 1D Array as an Input (considered 1-row 2D) and uniquifing horizontally (by row)</t>
  </si>
  <si>
    <t>Output Data 8</t>
  </si>
  <si>
    <t>Output Data 9</t>
  </si>
  <si>
    <t xml:space="preserve">The following sheets are each presenting a User Defined Function (UDF) from the 'UDF_DataManipulation' module. These functions are intended to be used in the Microsoft Excel interface only. They are using a library module of Array/Collection manipulation tools called 'LibArrayTools'. Do NOT call 'UDF_DataManipulation'  functions directly from VBA! If ever in need (in VBA) of the functionality presented in these sheets then please use the 'LibArrayTools' module. </t>
  </si>
  <si>
    <t>In newer versions of Excel some of the functions presented here are native to Excel (FILTER, SORT, SEQUENCE, UNIQUE and others) but the functionality presented here is slightly different. For example:</t>
  </si>
  <si>
    <t>[Optional] the number of rows to be returned. Defaults to 1 when omitted. Use 0 to get all rows starting from startRow</t>
  </si>
  <si>
    <t>[Optional]  the number of columns to be returned. Defaults to 1 when omitted. Use 0 to get all columns starting from startColumn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</si>
</sst>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2" formatCode="_-&quot;£&quot;* #,##0_-;\-&quot;£&quot;* #,##0_-;_-&quot;£&quot;* &quot;-&quot;_-;_-@_-"/>
    <numFmt numFmtId="41" formatCode="_-* #,##0_-;\-* #,##0_-;_-* &quot;-&quot;_-;_-@_-"/>
    <numFmt numFmtId="44" formatCode="_-&quot;£&quot;* #,##0.00_-;\-&quot;£&quot;* #,##0.00_-;_-&quot;£&quot;* &quot;-&quot;??_-;_-@_-"/>
    <numFmt numFmtId="43" formatCode="_-* #,##0.00_-;\-* #,##0.00_-;_-* &quot;-&quot;??_-;_-@_-"/>
  </numFmts>
  <fonts count="23" x14ac:knownFonts="1">
    <font>
      <sz val="10"/>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theme="1"/>
      <name val="Calibri"/>
      <family val="2"/>
      <scheme val="minor"/>
    </font>
    <font>
      <b/>
      <sz val="10"/>
      <color theme="1"/>
      <name val="Calibri"/>
      <family val="2"/>
      <scheme val="minor"/>
    </font>
    <font>
      <b/>
      <sz val="10"/>
      <color rgb="FF00B050"/>
      <name val="Calibri"/>
      <family val="2"/>
      <scheme val="minor"/>
    </font>
    <font>
      <b/>
      <sz val="9"/>
      <name val="Calibri"/>
      <family val="2"/>
      <scheme val="minor"/>
    </font>
    <font>
      <b/>
      <sz val="9"/>
      <color theme="0"/>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39994506668294322"/>
        <bgColor indexed="64"/>
      </patternFill>
    </fill>
    <fill>
      <patternFill patternType="solid">
        <fgColor rgb="FFFFFF00"/>
        <bgColor indexed="64"/>
      </patternFill>
    </fill>
    <fill>
      <patternFill patternType="solid">
        <fgColor rgb="FF0070C0"/>
        <bgColor indexed="64"/>
      </patternFill>
    </fill>
    <fill>
      <patternFill patternType="solid">
        <fgColor theme="4" tint="0.79998168889431442"/>
        <bgColor indexed="64"/>
      </patternFill>
    </fill>
  </fills>
  <borders count="2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s>
  <cellStyleXfs count="52">
    <xf numFmtId="0" fontId="0" fillId="0" borderId="0"/>
    <xf numFmtId="43" fontId="1" fillId="0" borderId="0" applyFont="0" applyFill="0" applyBorder="0" applyAlignment="0" applyProtection="0"/>
    <xf numFmtId="41"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0" fillId="0" borderId="0" applyNumberFormat="0" applyFill="0" applyBorder="0" applyAlignment="0" applyProtection="0"/>
    <xf numFmtId="0" fontId="21" fillId="33" borderId="0" applyNumberFormat="0" applyBorder="0" applyProtection="0">
      <alignment horizontal="centerContinuous"/>
    </xf>
    <xf numFmtId="0" fontId="18" fillId="34" borderId="0" applyNumberFormat="0" applyFont="0" applyBorder="0" applyAlignment="0" applyProtection="0"/>
    <xf numFmtId="0" fontId="22" fillId="35" borderId="0" applyNumberFormat="0" applyBorder="0" applyProtection="0">
      <alignment horizontal="centerContinuous"/>
    </xf>
    <xf numFmtId="0" fontId="21" fillId="36" borderId="0" applyNumberFormat="0" applyBorder="0" applyProtection="0">
      <alignment horizontal="centerContinuous"/>
    </xf>
  </cellStyleXfs>
  <cellXfs count="46">
    <xf numFmtId="0" fontId="0" fillId="0" borderId="0" xfId="0"/>
    <xf numFmtId="0" fontId="19" fillId="0" borderId="0" xfId="0" applyFont="1" applyAlignment="1">
      <alignment vertical="top" wrapText="1"/>
    </xf>
    <xf numFmtId="0" fontId="0" fillId="0" borderId="0" xfId="0" applyAlignment="1">
      <alignment vertical="top" wrapText="1"/>
    </xf>
    <xf numFmtId="0" fontId="0" fillId="0" borderId="0" xfId="0" quotePrefix="1" applyAlignment="1">
      <alignment vertical="top" wrapText="1"/>
    </xf>
    <xf numFmtId="0" fontId="20" fillId="0" borderId="0" xfId="47" applyAlignment="1">
      <alignment vertical="top" wrapText="1"/>
    </xf>
    <xf numFmtId="0" fontId="19" fillId="0" borderId="0" xfId="0" applyFont="1"/>
    <xf numFmtId="0" fontId="0" fillId="0" borderId="0" xfId="0" applyAlignment="1">
      <alignment vertical="center" wrapText="1"/>
    </xf>
    <xf numFmtId="0" fontId="21" fillId="33" borderId="10" xfId="48" applyBorder="1">
      <alignment horizontal="centerContinuous"/>
    </xf>
    <xf numFmtId="0" fontId="21" fillId="33" borderId="11" xfId="48" applyBorder="1">
      <alignment horizontal="centerContinuous"/>
    </xf>
    <xf numFmtId="0" fontId="21" fillId="33" borderId="12" xfId="48" applyBorder="1">
      <alignment horizontal="centerContinuous"/>
    </xf>
    <xf numFmtId="0" fontId="0" fillId="0" borderId="13" xfId="0" applyBorder="1"/>
    <xf numFmtId="0" fontId="0" fillId="34" borderId="14" xfId="49" applyFont="1" applyBorder="1"/>
    <xf numFmtId="0" fontId="0" fillId="0" borderId="15" xfId="0" applyBorder="1"/>
    <xf numFmtId="0" fontId="20" fillId="0" borderId="0" xfId="47"/>
    <xf numFmtId="0" fontId="22" fillId="35" borderId="13" xfId="50" applyBorder="1">
      <alignment horizontal="centerContinuous"/>
    </xf>
    <xf numFmtId="0" fontId="22" fillId="35" borderId="14" xfId="50" applyBorder="1">
      <alignment horizontal="centerContinuous"/>
    </xf>
    <xf numFmtId="0" fontId="22" fillId="35" borderId="15" xfId="50" applyBorder="1">
      <alignment horizontal="centerContinuous"/>
    </xf>
    <xf numFmtId="0" fontId="21" fillId="36" borderId="13" xfId="51" applyBorder="1">
      <alignment horizontal="centerContinuous"/>
    </xf>
    <xf numFmtId="0" fontId="21" fillId="36" borderId="14" xfId="51" applyBorder="1">
      <alignment horizontal="centerContinuous"/>
    </xf>
    <xf numFmtId="0" fontId="21" fillId="36" borderId="15" xfId="51" applyBorder="1">
      <alignment horizontal="centerContinuous"/>
    </xf>
    <xf numFmtId="0" fontId="0" fillId="0" borderId="10" xfId="0" applyBorder="1"/>
    <xf numFmtId="0" fontId="0" fillId="0" borderId="11" xfId="0" applyBorder="1"/>
    <xf numFmtId="0" fontId="0" fillId="0" borderId="12"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22" fillId="35" borderId="21" xfId="50" applyBorder="1">
      <alignment horizontal="centerContinuous"/>
    </xf>
    <xf numFmtId="0" fontId="0" fillId="0" borderId="21" xfId="0" applyBorder="1"/>
    <xf numFmtId="0" fontId="0" fillId="0" borderId="0" xfId="0" quotePrefix="1"/>
    <xf numFmtId="0" fontId="22" fillId="35" borderId="10" xfId="50" applyBorder="1">
      <alignment horizontal="centerContinuous"/>
    </xf>
    <xf numFmtId="0" fontId="22" fillId="35" borderId="11" xfId="50" applyBorder="1">
      <alignment horizontal="centerContinuous"/>
    </xf>
    <xf numFmtId="0" fontId="22" fillId="35" borderId="12" xfId="50" applyBorder="1">
      <alignment horizontal="centerContinuous"/>
    </xf>
    <xf numFmtId="0" fontId="0" fillId="34" borderId="11" xfId="49" applyFont="1" applyBorder="1"/>
    <xf numFmtId="0" fontId="0" fillId="34" borderId="19" xfId="49" applyFont="1" applyBorder="1"/>
    <xf numFmtId="0" fontId="0" fillId="34" borderId="0" xfId="49" applyFont="1" applyBorder="1"/>
    <xf numFmtId="0" fontId="0" fillId="0" borderId="14" xfId="0" applyBorder="1"/>
    <xf numFmtId="0" fontId="21" fillId="33" borderId="13" xfId="48" applyBorder="1">
      <alignment horizontal="centerContinuous"/>
    </xf>
    <xf numFmtId="0" fontId="21" fillId="33" borderId="14" xfId="48" applyBorder="1">
      <alignment horizontal="centerContinuous"/>
    </xf>
    <xf numFmtId="0" fontId="21" fillId="33" borderId="15" xfId="48" applyBorder="1">
      <alignment horizontal="centerContinuous"/>
    </xf>
    <xf numFmtId="0" fontId="0" fillId="34" borderId="19" xfId="49" quotePrefix="1" applyFont="1" applyBorder="1"/>
    <xf numFmtId="0" fontId="21" fillId="36" borderId="10" xfId="51" applyBorder="1">
      <alignment horizontal="centerContinuous"/>
    </xf>
    <xf numFmtId="0" fontId="21" fillId="36" borderId="11" xfId="51" applyBorder="1">
      <alignment horizontal="centerContinuous"/>
    </xf>
    <xf numFmtId="0" fontId="21" fillId="36" borderId="12" xfId="51" applyBorder="1">
      <alignment horizontal="centerContinuous"/>
    </xf>
    <xf numFmtId="0" fontId="0" fillId="0" borderId="16" xfId="0" quotePrefix="1" applyBorder="1"/>
  </cellXfs>
  <cellStyles count="52">
    <cellStyle name="20% - Accent1" xfId="24" builtinId="30" hidden="1"/>
    <cellStyle name="20% - Accent2" xfId="28" builtinId="34" hidden="1"/>
    <cellStyle name="20% - Accent3" xfId="32" builtinId="38" hidden="1"/>
    <cellStyle name="20% - Accent4" xfId="36" builtinId="42" hidden="1"/>
    <cellStyle name="20% - Accent5" xfId="40" builtinId="46" hidden="1"/>
    <cellStyle name="20% - Accent6" xfId="44" builtinId="50" hidden="1"/>
    <cellStyle name="40% - Accent1" xfId="25" builtinId="31" hidden="1"/>
    <cellStyle name="40% - Accent2" xfId="29" builtinId="35" hidden="1"/>
    <cellStyle name="40% - Accent3" xfId="33" builtinId="39" hidden="1"/>
    <cellStyle name="40% - Accent4" xfId="37" builtinId="43" hidden="1"/>
    <cellStyle name="40% - Accent5" xfId="41" builtinId="47" hidden="1"/>
    <cellStyle name="40% - Accent6" xfId="45" builtinId="51" hidden="1"/>
    <cellStyle name="60% - Accent1" xfId="26" builtinId="32" hidden="1"/>
    <cellStyle name="60% - Accent2" xfId="30" builtinId="36" hidden="1"/>
    <cellStyle name="60% - Accent3" xfId="34" builtinId="40" hidden="1"/>
    <cellStyle name="60% - Accent4" xfId="38" builtinId="44" hidden="1"/>
    <cellStyle name="60% - Accent5" xfId="42" builtinId="48" hidden="1"/>
    <cellStyle name="60% - Accent6" xfId="46" builtinId="52" hidden="1"/>
    <cellStyle name="Accent1" xfId="23" builtinId="29" hidden="1"/>
    <cellStyle name="Accent2" xfId="27" builtinId="33" hidden="1"/>
    <cellStyle name="Accent3" xfId="31" builtinId="37" hidden="1"/>
    <cellStyle name="Accent4" xfId="35" builtinId="41" hidden="1"/>
    <cellStyle name="Accent5" xfId="39" builtinId="45" hidden="1"/>
    <cellStyle name="Accent6" xfId="43" builtinId="49" hidden="1"/>
    <cellStyle name="Arguments" xfId="49" xr:uid="{3A535D20-B2AF-41E5-B721-B0A483BABC13}"/>
    <cellStyle name="Bad" xfId="12" builtinId="27" hidden="1"/>
    <cellStyle name="Calculation" xfId="16" builtinId="22" hidden="1"/>
    <cellStyle name="Check Cell" xfId="18" builtinId="23" hidden="1"/>
    <cellStyle name="Comma" xfId="1" builtinId="3" hidden="1"/>
    <cellStyle name="Comma [0]" xfId="2" builtinId="6" hidden="1"/>
    <cellStyle name="Currency" xfId="3" builtinId="4" hidden="1"/>
    <cellStyle name="Currency [0]" xfId="4" builtinId="7" hidden="1"/>
    <cellStyle name="Explanatory Text" xfId="21" builtinId="53" hidden="1"/>
    <cellStyle name="Good" xfId="11" builtinId="26" hidden="1"/>
    <cellStyle name="Heading 1" xfId="7" builtinId="16" hidden="1"/>
    <cellStyle name="Heading 2" xfId="8" builtinId="17" hidden="1"/>
    <cellStyle name="Heading 3" xfId="9" builtinId="18" hidden="1"/>
    <cellStyle name="Heading 4" xfId="10" builtinId="19" hidden="1"/>
    <cellStyle name="Input" xfId="14" builtinId="20" hidden="1"/>
    <cellStyle name="Linked Cell" xfId="17" builtinId="24" hidden="1"/>
    <cellStyle name="Neutral" xfId="13" builtinId="28" hidden="1"/>
    <cellStyle name="Normal" xfId="0" builtinId="0" customBuiltin="1"/>
    <cellStyle name="Note" xfId="20" builtinId="10" hidden="1"/>
    <cellStyle name="Output" xfId="15" builtinId="21" hidden="1"/>
    <cellStyle name="OutputData" xfId="51" xr:uid="{17A52333-B202-4126-B06B-9892FBC96F23}"/>
    <cellStyle name="Parameters" xfId="48" xr:uid="{1699390A-A4DE-4B07-98F2-BC5E12852E44}"/>
    <cellStyle name="Percent" xfId="5" builtinId="5" hidden="1"/>
    <cellStyle name="Remark" xfId="47" xr:uid="{740EAB45-3A44-4C7A-B2AD-51860ABBEDA6}"/>
    <cellStyle name="SourceData" xfId="50" xr:uid="{C4AE1BD4-AB5E-4DD0-BDCC-AF90BF78198F}"/>
    <cellStyle name="Title" xfId="6" builtinId="15" hidden="1"/>
    <cellStyle name="Total" xfId="22" builtinId="25" hidden="1"/>
    <cellStyle name="Warning Text" xfId="19" builtinId="11" hidde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4529E-9C57-48A6-B45E-E60ED20ECE0F}">
  <sheetPr codeName="Sheet10">
    <tabColor rgb="FFFFC000"/>
  </sheetPr>
  <dimension ref="A1:A12"/>
  <sheetViews>
    <sheetView showGridLines="0" showRowColHeaders="0" tabSelected="1" zoomScale="130" zoomScaleNormal="130" workbookViewId="0">
      <pane ySplit="1" topLeftCell="A2" activePane="bottomLeft" state="frozen"/>
      <selection activeCell="A12" sqref="A12"/>
      <selection pane="bottomLeft" activeCell="A12" sqref="A12"/>
    </sheetView>
  </sheetViews>
  <sheetFormatPr defaultRowHeight="12.75" x14ac:dyDescent="0.2"/>
  <cols>
    <col min="1" max="1" width="91.7109375" customWidth="1"/>
  </cols>
  <sheetData>
    <row r="1" spans="1:1" x14ac:dyDescent="0.2">
      <c r="A1" s="1" t="s">
        <v>0</v>
      </c>
    </row>
    <row r="2" spans="1:1" x14ac:dyDescent="0.2">
      <c r="A2" s="2"/>
    </row>
    <row r="3" spans="1:1" ht="63.75" x14ac:dyDescent="0.2">
      <c r="A3" s="2" t="s">
        <v>176</v>
      </c>
    </row>
    <row r="4" spans="1:1" x14ac:dyDescent="0.2">
      <c r="A4" s="2"/>
    </row>
    <row r="5" spans="1:1" ht="38.25" x14ac:dyDescent="0.2">
      <c r="A5" s="2" t="s">
        <v>1</v>
      </c>
    </row>
    <row r="6" spans="1:1" x14ac:dyDescent="0.2">
      <c r="A6" s="2" t="s">
        <v>2</v>
      </c>
    </row>
    <row r="7" spans="1:1" x14ac:dyDescent="0.2">
      <c r="A7" s="2"/>
    </row>
    <row r="8" spans="1:1" ht="25.5" x14ac:dyDescent="0.2">
      <c r="A8" s="2" t="s">
        <v>177</v>
      </c>
    </row>
    <row r="9" spans="1:1" ht="25.5" x14ac:dyDescent="0.2">
      <c r="A9" s="3" t="s">
        <v>3</v>
      </c>
    </row>
    <row r="10" spans="1:1" ht="25.5" x14ac:dyDescent="0.2">
      <c r="A10" s="3" t="s">
        <v>4</v>
      </c>
    </row>
    <row r="11" spans="1:1" ht="25.5" x14ac:dyDescent="0.2">
      <c r="A11" s="3" t="s">
        <v>5</v>
      </c>
    </row>
    <row r="12" spans="1:1" ht="25.5" x14ac:dyDescent="0.2">
      <c r="A12" s="4" t="s">
        <v>6</v>
      </c>
    </row>
  </sheetData>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4A5FD-570E-4B0D-A9CE-6C6A16007E11}">
  <sheetPr codeName="Sheet2"/>
  <dimension ref="A1:P27"/>
  <sheetViews>
    <sheetView zoomScaleNormal="100" workbookViewId="0">
      <pane ySplit="9" topLeftCell="A10" activePane="bottomLeft" state="frozen"/>
      <selection pane="bottomLeft" activeCell="C23" sqref="C23"/>
    </sheetView>
  </sheetViews>
  <sheetFormatPr defaultRowHeight="12.75" x14ac:dyDescent="0.2"/>
  <cols>
    <col min="1" max="1" width="10.85546875" bestFit="1" customWidth="1"/>
    <col min="5" max="5" width="2.7109375" customWidth="1"/>
    <col min="6" max="6" width="12.42578125" bestFit="1" customWidth="1"/>
  </cols>
  <sheetData>
    <row r="1" spans="1:16" x14ac:dyDescent="0.2">
      <c r="A1" s="5" t="s">
        <v>7</v>
      </c>
    </row>
    <row r="3" spans="1:16" x14ac:dyDescent="0.2">
      <c r="A3" t="s">
        <v>8</v>
      </c>
    </row>
    <row r="5" spans="1:16" ht="12.75" customHeight="1" x14ac:dyDescent="0.2">
      <c r="A5" s="6"/>
      <c r="B5" s="6"/>
      <c r="C5" s="6"/>
      <c r="D5" s="6"/>
      <c r="F5" s="7" t="s">
        <v>9</v>
      </c>
      <c r="G5" s="8"/>
      <c r="H5" s="9"/>
    </row>
    <row r="6" spans="1:16" x14ac:dyDescent="0.2">
      <c r="A6" s="6"/>
      <c r="B6" s="6"/>
      <c r="C6" s="6"/>
      <c r="D6" s="6"/>
      <c r="F6" s="10" t="s">
        <v>10</v>
      </c>
      <c r="G6" s="11">
        <v>3</v>
      </c>
      <c r="H6" s="12" t="s">
        <v>11</v>
      </c>
    </row>
    <row r="8" spans="1:16" x14ac:dyDescent="0.2">
      <c r="F8" s="13" t="s">
        <v>12</v>
      </c>
    </row>
    <row r="9" spans="1:16" x14ac:dyDescent="0.2">
      <c r="A9" s="14" t="s">
        <v>13</v>
      </c>
      <c r="B9" s="15"/>
      <c r="C9" s="15"/>
      <c r="D9" s="16"/>
      <c r="F9" s="17" t="s">
        <v>14</v>
      </c>
      <c r="G9" s="18"/>
      <c r="H9" s="18"/>
      <c r="I9" s="18"/>
      <c r="J9" s="18"/>
      <c r="K9" s="18"/>
      <c r="L9" s="18"/>
      <c r="M9" s="18"/>
      <c r="N9" s="18"/>
      <c r="O9" s="18"/>
      <c r="P9" s="19"/>
    </row>
    <row r="10" spans="1:16" x14ac:dyDescent="0.2">
      <c r="A10" s="20">
        <v>1</v>
      </c>
      <c r="B10" s="21">
        <v>2</v>
      </c>
      <c r="C10" s="21">
        <v>3</v>
      </c>
      <c r="D10" s="22">
        <v>4</v>
      </c>
      <c r="F10" s="23">
        <f t="array" ref="F10:P27">DM_ARRAY($G$6,A10:D13,A16:B17,A20,22,{23,24})</f>
        <v>1</v>
      </c>
      <c r="G10">
        <v>2</v>
      </c>
      <c r="H10">
        <v>3</v>
      </c>
      <c r="I10" t="e">
        <v>#N/A</v>
      </c>
      <c r="J10" t="e">
        <v>#N/A</v>
      </c>
      <c r="K10" t="e">
        <v>#N/A</v>
      </c>
      <c r="L10" t="e">
        <v>#N/A</v>
      </c>
      <c r="M10" t="e">
        <v>#N/A</v>
      </c>
      <c r="N10" t="e">
        <v>#N/A</v>
      </c>
      <c r="O10" t="e">
        <v>#N/A</v>
      </c>
      <c r="P10" s="24" t="e">
        <v>#N/A</v>
      </c>
    </row>
    <row r="11" spans="1:16" x14ac:dyDescent="0.2">
      <c r="A11" s="23">
        <v>5</v>
      </c>
      <c r="B11">
        <v>6</v>
      </c>
      <c r="C11">
        <v>7</v>
      </c>
      <c r="D11" s="24">
        <v>8</v>
      </c>
      <c r="F11" s="23">
        <v>4</v>
      </c>
      <c r="G11">
        <v>5</v>
      </c>
      <c r="H11">
        <v>6</v>
      </c>
      <c r="I11" t="e">
        <v>#N/A</v>
      </c>
      <c r="J11" t="e">
        <v>#N/A</v>
      </c>
      <c r="K11" t="e">
        <v>#N/A</v>
      </c>
      <c r="L11" t="e">
        <v>#N/A</v>
      </c>
      <c r="M11" t="e">
        <v>#N/A</v>
      </c>
      <c r="N11" t="e">
        <v>#N/A</v>
      </c>
      <c r="O11" t="e">
        <v>#N/A</v>
      </c>
      <c r="P11" s="24" t="e">
        <v>#N/A</v>
      </c>
    </row>
    <row r="12" spans="1:16" x14ac:dyDescent="0.2">
      <c r="A12" s="23">
        <v>9</v>
      </c>
      <c r="B12">
        <v>10</v>
      </c>
      <c r="C12">
        <v>11</v>
      </c>
      <c r="D12" s="24">
        <v>12</v>
      </c>
      <c r="F12" s="23">
        <v>7</v>
      </c>
      <c r="G12">
        <v>8</v>
      </c>
      <c r="H12">
        <v>9</v>
      </c>
      <c r="I12" t="e">
        <v>#N/A</v>
      </c>
      <c r="J12" t="e">
        <v>#N/A</v>
      </c>
      <c r="K12" t="e">
        <v>#N/A</v>
      </c>
      <c r="L12" t="e">
        <v>#N/A</v>
      </c>
      <c r="M12" t="e">
        <v>#N/A</v>
      </c>
      <c r="N12" t="e">
        <v>#N/A</v>
      </c>
      <c r="O12" t="e">
        <v>#N/A</v>
      </c>
      <c r="P12" s="24" t="e">
        <v>#N/A</v>
      </c>
    </row>
    <row r="13" spans="1:16" x14ac:dyDescent="0.2">
      <c r="A13" s="25">
        <v>13</v>
      </c>
      <c r="B13" s="26">
        <v>14</v>
      </c>
      <c r="C13" s="26">
        <v>15</v>
      </c>
      <c r="D13" s="27">
        <v>16</v>
      </c>
      <c r="F13" s="23">
        <v>10</v>
      </c>
      <c r="G13">
        <v>11</v>
      </c>
      <c r="H13">
        <v>12</v>
      </c>
      <c r="I13" t="e">
        <v>#N/A</v>
      </c>
      <c r="J13" t="e">
        <v>#N/A</v>
      </c>
      <c r="K13" t="e">
        <v>#N/A</v>
      </c>
      <c r="L13" t="e">
        <v>#N/A</v>
      </c>
      <c r="M13" t="e">
        <v>#N/A</v>
      </c>
      <c r="N13" t="e">
        <v>#N/A</v>
      </c>
      <c r="O13" t="e">
        <v>#N/A</v>
      </c>
      <c r="P13" s="24" t="e">
        <v>#N/A</v>
      </c>
    </row>
    <row r="14" spans="1:16" x14ac:dyDescent="0.2">
      <c r="F14" s="23">
        <v>13</v>
      </c>
      <c r="G14">
        <v>14</v>
      </c>
      <c r="H14">
        <v>15</v>
      </c>
      <c r="I14" t="e">
        <v>#N/A</v>
      </c>
      <c r="J14" t="e">
        <v>#N/A</v>
      </c>
      <c r="K14" t="e">
        <v>#N/A</v>
      </c>
      <c r="L14" t="e">
        <v>#N/A</v>
      </c>
      <c r="M14" t="e">
        <v>#N/A</v>
      </c>
      <c r="N14" t="e">
        <v>#N/A</v>
      </c>
      <c r="O14" t="e">
        <v>#N/A</v>
      </c>
      <c r="P14" s="24" t="e">
        <v>#N/A</v>
      </c>
    </row>
    <row r="15" spans="1:16" x14ac:dyDescent="0.2">
      <c r="A15" s="14" t="s">
        <v>15</v>
      </c>
      <c r="B15" s="16"/>
      <c r="F15" s="23">
        <v>16</v>
      </c>
      <c r="G15">
        <v>17</v>
      </c>
      <c r="H15">
        <v>18</v>
      </c>
      <c r="I15" t="e">
        <v>#N/A</v>
      </c>
      <c r="J15" t="e">
        <v>#N/A</v>
      </c>
      <c r="K15" t="e">
        <v>#N/A</v>
      </c>
      <c r="L15" t="e">
        <v>#N/A</v>
      </c>
      <c r="M15" t="e">
        <v>#N/A</v>
      </c>
      <c r="N15" t="e">
        <v>#N/A</v>
      </c>
      <c r="O15" t="e">
        <v>#N/A</v>
      </c>
      <c r="P15" s="24" t="e">
        <v>#N/A</v>
      </c>
    </row>
    <row r="16" spans="1:16" x14ac:dyDescent="0.2">
      <c r="A16" s="20">
        <v>17</v>
      </c>
      <c r="B16" s="22">
        <v>18</v>
      </c>
      <c r="F16" s="23">
        <v>19</v>
      </c>
      <c r="G16">
        <v>20</v>
      </c>
      <c r="H16">
        <v>21</v>
      </c>
      <c r="I16" t="e">
        <v>#N/A</v>
      </c>
      <c r="J16" t="e">
        <v>#N/A</v>
      </c>
      <c r="K16" t="e">
        <v>#N/A</v>
      </c>
      <c r="L16" t="e">
        <v>#N/A</v>
      </c>
      <c r="M16" t="e">
        <v>#N/A</v>
      </c>
      <c r="N16" t="e">
        <v>#N/A</v>
      </c>
      <c r="O16" t="e">
        <v>#N/A</v>
      </c>
      <c r="P16" s="24" t="e">
        <v>#N/A</v>
      </c>
    </row>
    <row r="17" spans="1:16" x14ac:dyDescent="0.2">
      <c r="A17" s="25">
        <v>19</v>
      </c>
      <c r="B17" s="27">
        <v>20</v>
      </c>
      <c r="F17" s="23">
        <v>22</v>
      </c>
      <c r="G17">
        <v>23</v>
      </c>
      <c r="H17">
        <v>24</v>
      </c>
      <c r="I17" t="e">
        <v>#N/A</v>
      </c>
      <c r="J17" t="e">
        <v>#N/A</v>
      </c>
      <c r="K17" t="e">
        <v>#N/A</v>
      </c>
      <c r="L17" t="e">
        <v>#N/A</v>
      </c>
      <c r="M17" t="e">
        <v>#N/A</v>
      </c>
      <c r="N17" t="e">
        <v>#N/A</v>
      </c>
      <c r="O17" t="e">
        <v>#N/A</v>
      </c>
      <c r="P17" s="24" t="e">
        <v>#N/A</v>
      </c>
    </row>
    <row r="18" spans="1:16" x14ac:dyDescent="0.2">
      <c r="F18" s="23" t="e">
        <v>#N/A</v>
      </c>
      <c r="G18" t="e">
        <v>#N/A</v>
      </c>
      <c r="H18" t="e">
        <v>#N/A</v>
      </c>
      <c r="I18" t="e">
        <v>#N/A</v>
      </c>
      <c r="J18" t="e">
        <v>#N/A</v>
      </c>
      <c r="K18" t="e">
        <v>#N/A</v>
      </c>
      <c r="L18" t="e">
        <v>#N/A</v>
      </c>
      <c r="M18" t="e">
        <v>#N/A</v>
      </c>
      <c r="N18" t="e">
        <v>#N/A</v>
      </c>
      <c r="O18" t="e">
        <v>#N/A</v>
      </c>
      <c r="P18" s="24" t="e">
        <v>#N/A</v>
      </c>
    </row>
    <row r="19" spans="1:16" x14ac:dyDescent="0.2">
      <c r="A19" s="28" t="s">
        <v>16</v>
      </c>
      <c r="F19" s="23" t="e">
        <v>#N/A</v>
      </c>
      <c r="G19" t="e">
        <v>#N/A</v>
      </c>
      <c r="H19" t="e">
        <v>#N/A</v>
      </c>
      <c r="I19" t="e">
        <v>#N/A</v>
      </c>
      <c r="J19" t="e">
        <v>#N/A</v>
      </c>
      <c r="K19" t="e">
        <v>#N/A</v>
      </c>
      <c r="L19" t="e">
        <v>#N/A</v>
      </c>
      <c r="M19" t="e">
        <v>#N/A</v>
      </c>
      <c r="N19" t="e">
        <v>#N/A</v>
      </c>
      <c r="O19" t="e">
        <v>#N/A</v>
      </c>
      <c r="P19" s="24" t="e">
        <v>#N/A</v>
      </c>
    </row>
    <row r="20" spans="1:16" x14ac:dyDescent="0.2">
      <c r="A20" s="29">
        <v>21</v>
      </c>
      <c r="F20" s="23" t="e">
        <v>#N/A</v>
      </c>
      <c r="G20" t="e">
        <v>#N/A</v>
      </c>
      <c r="H20" t="e">
        <v>#N/A</v>
      </c>
      <c r="I20" t="e">
        <v>#N/A</v>
      </c>
      <c r="J20" t="e">
        <v>#N/A</v>
      </c>
      <c r="K20" t="e">
        <v>#N/A</v>
      </c>
      <c r="L20" t="e">
        <v>#N/A</v>
      </c>
      <c r="M20" t="e">
        <v>#N/A</v>
      </c>
      <c r="N20" t="e">
        <v>#N/A</v>
      </c>
      <c r="O20" t="e">
        <v>#N/A</v>
      </c>
      <c r="P20" s="24" t="e">
        <v>#N/A</v>
      </c>
    </row>
    <row r="21" spans="1:16" x14ac:dyDescent="0.2">
      <c r="F21" s="23" t="e">
        <v>#N/A</v>
      </c>
      <c r="G21" t="e">
        <v>#N/A</v>
      </c>
      <c r="H21" t="e">
        <v>#N/A</v>
      </c>
      <c r="I21" t="e">
        <v>#N/A</v>
      </c>
      <c r="J21" t="e">
        <v>#N/A</v>
      </c>
      <c r="K21" t="e">
        <v>#N/A</v>
      </c>
      <c r="L21" t="e">
        <v>#N/A</v>
      </c>
      <c r="M21" t="e">
        <v>#N/A</v>
      </c>
      <c r="N21" t="e">
        <v>#N/A</v>
      </c>
      <c r="O21" t="e">
        <v>#N/A</v>
      </c>
      <c r="P21" s="24" t="e">
        <v>#N/A</v>
      </c>
    </row>
    <row r="22" spans="1:16" x14ac:dyDescent="0.2">
      <c r="F22" s="23" t="e">
        <v>#N/A</v>
      </c>
      <c r="G22" t="e">
        <v>#N/A</v>
      </c>
      <c r="H22" t="e">
        <v>#N/A</v>
      </c>
      <c r="I22" t="e">
        <v>#N/A</v>
      </c>
      <c r="J22" t="e">
        <v>#N/A</v>
      </c>
      <c r="K22" t="e">
        <v>#N/A</v>
      </c>
      <c r="L22" t="e">
        <v>#N/A</v>
      </c>
      <c r="M22" t="e">
        <v>#N/A</v>
      </c>
      <c r="N22" t="e">
        <v>#N/A</v>
      </c>
      <c r="O22" t="e">
        <v>#N/A</v>
      </c>
      <c r="P22" s="24" t="e">
        <v>#N/A</v>
      </c>
    </row>
    <row r="23" spans="1:16" x14ac:dyDescent="0.2">
      <c r="F23" s="23" t="e">
        <v>#N/A</v>
      </c>
      <c r="G23" t="e">
        <v>#N/A</v>
      </c>
      <c r="H23" t="e">
        <v>#N/A</v>
      </c>
      <c r="I23" t="e">
        <v>#N/A</v>
      </c>
      <c r="J23" t="e">
        <v>#N/A</v>
      </c>
      <c r="K23" t="e">
        <v>#N/A</v>
      </c>
      <c r="L23" t="e">
        <v>#N/A</v>
      </c>
      <c r="M23" t="e">
        <v>#N/A</v>
      </c>
      <c r="N23" t="e">
        <v>#N/A</v>
      </c>
      <c r="O23" t="e">
        <v>#N/A</v>
      </c>
      <c r="P23" s="24" t="e">
        <v>#N/A</v>
      </c>
    </row>
    <row r="24" spans="1:16" x14ac:dyDescent="0.2">
      <c r="F24" s="23" t="e">
        <v>#N/A</v>
      </c>
      <c r="G24" t="e">
        <v>#N/A</v>
      </c>
      <c r="H24" t="e">
        <v>#N/A</v>
      </c>
      <c r="I24" t="e">
        <v>#N/A</v>
      </c>
      <c r="J24" t="e">
        <v>#N/A</v>
      </c>
      <c r="K24" t="e">
        <v>#N/A</v>
      </c>
      <c r="L24" t="e">
        <v>#N/A</v>
      </c>
      <c r="M24" t="e">
        <v>#N/A</v>
      </c>
      <c r="N24" t="e">
        <v>#N/A</v>
      </c>
      <c r="O24" t="e">
        <v>#N/A</v>
      </c>
      <c r="P24" s="24" t="e">
        <v>#N/A</v>
      </c>
    </row>
    <row r="25" spans="1:16" x14ac:dyDescent="0.2">
      <c r="F25" s="23" t="e">
        <v>#N/A</v>
      </c>
      <c r="G25" t="e">
        <v>#N/A</v>
      </c>
      <c r="H25" t="e">
        <v>#N/A</v>
      </c>
      <c r="I25" t="e">
        <v>#N/A</v>
      </c>
      <c r="J25" t="e">
        <v>#N/A</v>
      </c>
      <c r="K25" t="e">
        <v>#N/A</v>
      </c>
      <c r="L25" t="e">
        <v>#N/A</v>
      </c>
      <c r="M25" t="e">
        <v>#N/A</v>
      </c>
      <c r="N25" t="e">
        <v>#N/A</v>
      </c>
      <c r="O25" t="e">
        <v>#N/A</v>
      </c>
      <c r="P25" s="24" t="e">
        <v>#N/A</v>
      </c>
    </row>
    <row r="26" spans="1:16" x14ac:dyDescent="0.2">
      <c r="F26" s="23" t="e">
        <v>#N/A</v>
      </c>
      <c r="G26" t="e">
        <v>#N/A</v>
      </c>
      <c r="H26" t="e">
        <v>#N/A</v>
      </c>
      <c r="I26" t="e">
        <v>#N/A</v>
      </c>
      <c r="J26" t="e">
        <v>#N/A</v>
      </c>
      <c r="K26" t="e">
        <v>#N/A</v>
      </c>
      <c r="L26" t="e">
        <v>#N/A</v>
      </c>
      <c r="M26" t="e">
        <v>#N/A</v>
      </c>
      <c r="N26" t="e">
        <v>#N/A</v>
      </c>
      <c r="O26" t="e">
        <v>#N/A</v>
      </c>
      <c r="P26" s="24" t="e">
        <v>#N/A</v>
      </c>
    </row>
    <row r="27" spans="1:16" x14ac:dyDescent="0.2">
      <c r="F27" s="25" t="e">
        <v>#N/A</v>
      </c>
      <c r="G27" s="26" t="e">
        <v>#N/A</v>
      </c>
      <c r="H27" s="26" t="e">
        <v>#N/A</v>
      </c>
      <c r="I27" s="26" t="e">
        <v>#N/A</v>
      </c>
      <c r="J27" s="26" t="e">
        <v>#N/A</v>
      </c>
      <c r="K27" s="26" t="e">
        <v>#N/A</v>
      </c>
      <c r="L27" s="26" t="e">
        <v>#N/A</v>
      </c>
      <c r="M27" s="26" t="e">
        <v>#N/A</v>
      </c>
      <c r="N27" s="26" t="e">
        <v>#N/A</v>
      </c>
      <c r="O27" s="26" t="e">
        <v>#N/A</v>
      </c>
      <c r="P27" s="27" t="e">
        <v>#N/A</v>
      </c>
    </row>
  </sheetData>
  <pageMargins left="0.7" right="0.7" top="0.75" bottom="0.75" header="0.3" footer="0.3"/>
  <pageSetup paperSize="9"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2392A-C885-408E-AF45-2055998E4D4B}">
  <sheetPr codeName="Sheet9"/>
  <dimension ref="A1:S36"/>
  <sheetViews>
    <sheetView workbookViewId="0">
      <pane ySplit="10" topLeftCell="A11" activePane="bottomLeft" state="frozen"/>
      <selection activeCell="A12" sqref="A12"/>
      <selection pane="bottomLeft"/>
    </sheetView>
  </sheetViews>
  <sheetFormatPr defaultRowHeight="12.75" x14ac:dyDescent="0.2"/>
  <cols>
    <col min="4" max="4" width="2.7109375" customWidth="1"/>
    <col min="5" max="7" width="9.140625" customWidth="1"/>
    <col min="8" max="8" width="2.7109375" customWidth="1"/>
    <col min="12" max="12" width="2.7109375" customWidth="1"/>
    <col min="16" max="16" width="2.7109375" customWidth="1"/>
  </cols>
  <sheetData>
    <row r="1" spans="1:19" x14ac:dyDescent="0.2">
      <c r="A1" s="5" t="s">
        <v>17</v>
      </c>
    </row>
    <row r="3" spans="1:19" x14ac:dyDescent="0.2">
      <c r="A3" t="s">
        <v>18</v>
      </c>
    </row>
    <row r="4" spans="1:19" x14ac:dyDescent="0.2">
      <c r="A4" t="s">
        <v>19</v>
      </c>
    </row>
    <row r="5" spans="1:19" x14ac:dyDescent="0.2">
      <c r="B5" s="30" t="s">
        <v>20</v>
      </c>
    </row>
    <row r="6" spans="1:19" x14ac:dyDescent="0.2">
      <c r="B6" s="30" t="s">
        <v>21</v>
      </c>
    </row>
    <row r="7" spans="1:19" x14ac:dyDescent="0.2">
      <c r="B7" s="30" t="s">
        <v>22</v>
      </c>
    </row>
    <row r="8" spans="1:19" x14ac:dyDescent="0.2">
      <c r="A8" s="6"/>
      <c r="B8" s="6"/>
      <c r="C8" s="6"/>
    </row>
    <row r="9" spans="1:19" x14ac:dyDescent="0.2">
      <c r="A9" s="6"/>
      <c r="B9" s="6"/>
      <c r="C9" s="6"/>
      <c r="E9" s="13" t="s">
        <v>23</v>
      </c>
      <c r="I9" s="13" t="s">
        <v>24</v>
      </c>
      <c r="M9" s="13" t="s">
        <v>25</v>
      </c>
      <c r="Q9" s="13" t="s">
        <v>26</v>
      </c>
    </row>
    <row r="10" spans="1:19" x14ac:dyDescent="0.2">
      <c r="A10" s="31" t="s">
        <v>27</v>
      </c>
      <c r="B10" s="32"/>
      <c r="C10" s="33"/>
      <c r="E10" s="17" t="s">
        <v>28</v>
      </c>
      <c r="F10" s="18"/>
      <c r="G10" s="19"/>
      <c r="I10" s="17" t="s">
        <v>29</v>
      </c>
      <c r="J10" s="18"/>
      <c r="K10" s="19"/>
      <c r="M10" s="17" t="s">
        <v>30</v>
      </c>
      <c r="N10" s="18"/>
      <c r="O10" s="19"/>
      <c r="Q10" s="17" t="s">
        <v>31</v>
      </c>
      <c r="R10" s="18"/>
      <c r="S10" s="19"/>
    </row>
    <row r="11" spans="1:19" x14ac:dyDescent="0.2">
      <c r="A11" s="20">
        <v>65</v>
      </c>
      <c r="B11" s="21" t="s">
        <v>32</v>
      </c>
      <c r="C11" s="22" t="s">
        <v>33</v>
      </c>
      <c r="E11" s="20">
        <f t="array" ref="E11:G36">DM_FILTER(1,$A$11:$C$36,"&gt;",67,"&lt;",86,"NOT IN",$A$17:$A$19)</f>
        <v>68</v>
      </c>
      <c r="F11" s="21" t="str">
        <v>D</v>
      </c>
      <c r="G11" s="22" t="str">
        <v>Consonant</v>
      </c>
      <c r="I11" s="20">
        <f t="array" ref="I11:K36">DM_FILTER(3,$A$11:$C$36,"&lt;&gt;","Vowel")</f>
        <v>66</v>
      </c>
      <c r="J11" s="21" t="str">
        <v>B</v>
      </c>
      <c r="K11" s="22" t="str">
        <v>Consonant</v>
      </c>
      <c r="M11" s="20">
        <f t="array" ref="M11:O36">DM_FILTER(3,DM_FILTER(1,$A$11:$C$36,"&gt;",67,"&lt;",86,"NOT IN",$A$17:$A$19),"&lt;&gt;","Vowel")</f>
        <v>68</v>
      </c>
      <c r="N11" s="21" t="str">
        <v>D</v>
      </c>
      <c r="O11" s="22" t="str">
        <v>Consonant</v>
      </c>
      <c r="Q11" s="20">
        <f t="array" ref="Q11:S36">DM_FILTER(2,$A$11:$C$36,"LIKE","[B-T]","NOT LIKE","[I-M]")</f>
        <v>66</v>
      </c>
      <c r="R11" s="21" t="str">
        <v>B</v>
      </c>
      <c r="S11" s="22" t="str">
        <v>Consonant</v>
      </c>
    </row>
    <row r="12" spans="1:19" x14ac:dyDescent="0.2">
      <c r="A12" s="23">
        <v>66</v>
      </c>
      <c r="B12" t="s">
        <v>34</v>
      </c>
      <c r="C12" s="24" t="s">
        <v>35</v>
      </c>
      <c r="E12" s="23">
        <v>69</v>
      </c>
      <c r="F12" t="str">
        <v>E</v>
      </c>
      <c r="G12" s="24" t="str">
        <v>Vowel</v>
      </c>
      <c r="I12" s="23">
        <v>67</v>
      </c>
      <c r="J12" t="str">
        <v>C</v>
      </c>
      <c r="K12" s="24" t="str">
        <v>Consonant</v>
      </c>
      <c r="M12" s="23">
        <v>70</v>
      </c>
      <c r="N12" t="str">
        <v>F</v>
      </c>
      <c r="O12" s="24" t="str">
        <v>Consonant</v>
      </c>
      <c r="Q12" s="23">
        <v>67</v>
      </c>
      <c r="R12" t="str">
        <v>C</v>
      </c>
      <c r="S12" s="24" t="str">
        <v>Consonant</v>
      </c>
    </row>
    <row r="13" spans="1:19" x14ac:dyDescent="0.2">
      <c r="A13" s="23">
        <v>67</v>
      </c>
      <c r="B13" t="s">
        <v>36</v>
      </c>
      <c r="C13" s="24" t="s">
        <v>35</v>
      </c>
      <c r="E13" s="23">
        <v>70</v>
      </c>
      <c r="F13" t="str">
        <v>F</v>
      </c>
      <c r="G13" s="24" t="str">
        <v>Consonant</v>
      </c>
      <c r="I13" s="23">
        <v>68</v>
      </c>
      <c r="J13" t="str">
        <v>D</v>
      </c>
      <c r="K13" s="24" t="str">
        <v>Consonant</v>
      </c>
      <c r="M13" s="23">
        <v>74</v>
      </c>
      <c r="N13" t="str">
        <v>J</v>
      </c>
      <c r="O13" s="24" t="str">
        <v>Consonant</v>
      </c>
      <c r="Q13" s="23">
        <v>68</v>
      </c>
      <c r="R13" t="str">
        <v>D</v>
      </c>
      <c r="S13" s="24" t="str">
        <v>Consonant</v>
      </c>
    </row>
    <row r="14" spans="1:19" x14ac:dyDescent="0.2">
      <c r="A14" s="23">
        <v>68</v>
      </c>
      <c r="B14" t="s">
        <v>37</v>
      </c>
      <c r="C14" s="24" t="s">
        <v>35</v>
      </c>
      <c r="E14" s="23">
        <v>74</v>
      </c>
      <c r="F14" t="str">
        <v>J</v>
      </c>
      <c r="G14" s="24" t="str">
        <v>Consonant</v>
      </c>
      <c r="I14" s="23">
        <v>70</v>
      </c>
      <c r="J14" t="str">
        <v>F</v>
      </c>
      <c r="K14" s="24" t="str">
        <v>Consonant</v>
      </c>
      <c r="M14" s="23">
        <v>75</v>
      </c>
      <c r="N14" t="str">
        <v>K</v>
      </c>
      <c r="O14" s="24" t="str">
        <v>Consonant</v>
      </c>
      <c r="Q14" s="23">
        <v>69</v>
      </c>
      <c r="R14" t="str">
        <v>E</v>
      </c>
      <c r="S14" s="24" t="str">
        <v>Vowel</v>
      </c>
    </row>
    <row r="15" spans="1:19" x14ac:dyDescent="0.2">
      <c r="A15" s="23">
        <v>69</v>
      </c>
      <c r="B15" t="s">
        <v>38</v>
      </c>
      <c r="C15" s="24" t="s">
        <v>33</v>
      </c>
      <c r="E15" s="23">
        <v>75</v>
      </c>
      <c r="F15" t="str">
        <v>K</v>
      </c>
      <c r="G15" s="24" t="str">
        <v>Consonant</v>
      </c>
      <c r="I15" s="23">
        <v>71</v>
      </c>
      <c r="J15" t="str">
        <v>G</v>
      </c>
      <c r="K15" s="24" t="str">
        <v>Consonant</v>
      </c>
      <c r="M15" s="23">
        <v>76</v>
      </c>
      <c r="N15" t="str">
        <v>L</v>
      </c>
      <c r="O15" s="24" t="str">
        <v>Consonant</v>
      </c>
      <c r="Q15" s="23">
        <v>70</v>
      </c>
      <c r="R15" t="str">
        <v>F</v>
      </c>
      <c r="S15" s="24" t="str">
        <v>Consonant</v>
      </c>
    </row>
    <row r="16" spans="1:19" x14ac:dyDescent="0.2">
      <c r="A16" s="23">
        <v>70</v>
      </c>
      <c r="B16" t="s">
        <v>39</v>
      </c>
      <c r="C16" s="24" t="s">
        <v>35</v>
      </c>
      <c r="E16" s="23">
        <v>76</v>
      </c>
      <c r="F16" t="str">
        <v>L</v>
      </c>
      <c r="G16" s="24" t="str">
        <v>Consonant</v>
      </c>
      <c r="I16" s="23">
        <v>72</v>
      </c>
      <c r="J16" t="str">
        <v>H</v>
      </c>
      <c r="K16" s="24" t="str">
        <v>Consonant</v>
      </c>
      <c r="M16" s="23">
        <v>77</v>
      </c>
      <c r="N16" t="str">
        <v>M</v>
      </c>
      <c r="O16" s="24" t="str">
        <v>Consonant</v>
      </c>
      <c r="Q16" s="23">
        <v>71</v>
      </c>
      <c r="R16" t="str">
        <v>G</v>
      </c>
      <c r="S16" s="24" t="str">
        <v>Consonant</v>
      </c>
    </row>
    <row r="17" spans="1:19" x14ac:dyDescent="0.2">
      <c r="A17" s="23">
        <v>71</v>
      </c>
      <c r="B17" t="s">
        <v>40</v>
      </c>
      <c r="C17" s="24" t="s">
        <v>35</v>
      </c>
      <c r="E17" s="23">
        <v>77</v>
      </c>
      <c r="F17" t="str">
        <v>M</v>
      </c>
      <c r="G17" s="24" t="str">
        <v>Consonant</v>
      </c>
      <c r="I17" s="23">
        <v>74</v>
      </c>
      <c r="J17" t="str">
        <v>J</v>
      </c>
      <c r="K17" s="24" t="str">
        <v>Consonant</v>
      </c>
      <c r="M17" s="23">
        <v>78</v>
      </c>
      <c r="N17" t="str">
        <v>N</v>
      </c>
      <c r="O17" s="24" t="str">
        <v>Consonant</v>
      </c>
      <c r="Q17" s="23">
        <v>72</v>
      </c>
      <c r="R17" t="str">
        <v>H</v>
      </c>
      <c r="S17" s="24" t="str">
        <v>Consonant</v>
      </c>
    </row>
    <row r="18" spans="1:19" x14ac:dyDescent="0.2">
      <c r="A18" s="23">
        <v>72</v>
      </c>
      <c r="B18" t="s">
        <v>41</v>
      </c>
      <c r="C18" s="24" t="s">
        <v>35</v>
      </c>
      <c r="E18" s="23">
        <v>78</v>
      </c>
      <c r="F18" t="str">
        <v>N</v>
      </c>
      <c r="G18" s="24" t="str">
        <v>Consonant</v>
      </c>
      <c r="I18" s="23">
        <v>75</v>
      </c>
      <c r="J18" t="str">
        <v>K</v>
      </c>
      <c r="K18" s="24" t="str">
        <v>Consonant</v>
      </c>
      <c r="M18" s="23">
        <v>80</v>
      </c>
      <c r="N18" t="str">
        <v>P</v>
      </c>
      <c r="O18" s="24" t="str">
        <v>Consonant</v>
      </c>
      <c r="Q18" s="23">
        <v>78</v>
      </c>
      <c r="R18" t="str">
        <v>N</v>
      </c>
      <c r="S18" s="24" t="str">
        <v>Consonant</v>
      </c>
    </row>
    <row r="19" spans="1:19" x14ac:dyDescent="0.2">
      <c r="A19" s="23">
        <v>73</v>
      </c>
      <c r="B19" t="s">
        <v>42</v>
      </c>
      <c r="C19" s="24" t="s">
        <v>33</v>
      </c>
      <c r="E19" s="23">
        <v>79</v>
      </c>
      <c r="F19" t="str">
        <v>O</v>
      </c>
      <c r="G19" s="24" t="str">
        <v>Vowel</v>
      </c>
      <c r="I19" s="23">
        <v>76</v>
      </c>
      <c r="J19" t="str">
        <v>L</v>
      </c>
      <c r="K19" s="24" t="str">
        <v>Consonant</v>
      </c>
      <c r="M19" s="23">
        <v>81</v>
      </c>
      <c r="N19" t="str">
        <v>Q</v>
      </c>
      <c r="O19" s="24" t="str">
        <v>Consonant</v>
      </c>
      <c r="Q19" s="23">
        <v>79</v>
      </c>
      <c r="R19" t="str">
        <v>O</v>
      </c>
      <c r="S19" s="24" t="str">
        <v>Vowel</v>
      </c>
    </row>
    <row r="20" spans="1:19" x14ac:dyDescent="0.2">
      <c r="A20" s="23">
        <v>74</v>
      </c>
      <c r="B20" t="s">
        <v>43</v>
      </c>
      <c r="C20" s="24" t="s">
        <v>35</v>
      </c>
      <c r="E20" s="23">
        <v>80</v>
      </c>
      <c r="F20" t="str">
        <v>P</v>
      </c>
      <c r="G20" s="24" t="str">
        <v>Consonant</v>
      </c>
      <c r="I20" s="23">
        <v>77</v>
      </c>
      <c r="J20" t="str">
        <v>M</v>
      </c>
      <c r="K20" s="24" t="str">
        <v>Consonant</v>
      </c>
      <c r="M20" s="23">
        <v>82</v>
      </c>
      <c r="N20" t="str">
        <v>R</v>
      </c>
      <c r="O20" s="24" t="str">
        <v>Consonant</v>
      </c>
      <c r="Q20" s="23">
        <v>80</v>
      </c>
      <c r="R20" t="str">
        <v>P</v>
      </c>
      <c r="S20" s="24" t="str">
        <v>Consonant</v>
      </c>
    </row>
    <row r="21" spans="1:19" x14ac:dyDescent="0.2">
      <c r="A21" s="23">
        <v>75</v>
      </c>
      <c r="B21" t="s">
        <v>44</v>
      </c>
      <c r="C21" s="24" t="s">
        <v>35</v>
      </c>
      <c r="E21" s="23">
        <v>81</v>
      </c>
      <c r="F21" t="str">
        <v>Q</v>
      </c>
      <c r="G21" s="24" t="str">
        <v>Consonant</v>
      </c>
      <c r="I21" s="23">
        <v>78</v>
      </c>
      <c r="J21" t="str">
        <v>N</v>
      </c>
      <c r="K21" s="24" t="str">
        <v>Consonant</v>
      </c>
      <c r="M21" s="23">
        <v>83</v>
      </c>
      <c r="N21" t="str">
        <v>S</v>
      </c>
      <c r="O21" s="24" t="str">
        <v>Consonant</v>
      </c>
      <c r="Q21" s="23">
        <v>81</v>
      </c>
      <c r="R21" t="str">
        <v>Q</v>
      </c>
      <c r="S21" s="24" t="str">
        <v>Consonant</v>
      </c>
    </row>
    <row r="22" spans="1:19" x14ac:dyDescent="0.2">
      <c r="A22" s="23">
        <v>76</v>
      </c>
      <c r="B22" t="s">
        <v>45</v>
      </c>
      <c r="C22" s="24" t="s">
        <v>35</v>
      </c>
      <c r="E22" s="23">
        <v>82</v>
      </c>
      <c r="F22" t="str">
        <v>R</v>
      </c>
      <c r="G22" s="24" t="str">
        <v>Consonant</v>
      </c>
      <c r="I22" s="23">
        <v>80</v>
      </c>
      <c r="J22" t="str">
        <v>P</v>
      </c>
      <c r="K22" s="24" t="str">
        <v>Consonant</v>
      </c>
      <c r="M22" s="23">
        <v>84</v>
      </c>
      <c r="N22" t="str">
        <v>T</v>
      </c>
      <c r="O22" s="24" t="str">
        <v>Consonant</v>
      </c>
      <c r="Q22" s="23">
        <v>82</v>
      </c>
      <c r="R22" t="str">
        <v>R</v>
      </c>
      <c r="S22" s="24" t="str">
        <v>Consonant</v>
      </c>
    </row>
    <row r="23" spans="1:19" x14ac:dyDescent="0.2">
      <c r="A23" s="23">
        <v>77</v>
      </c>
      <c r="B23" t="s">
        <v>46</v>
      </c>
      <c r="C23" s="24" t="s">
        <v>35</v>
      </c>
      <c r="E23" s="23">
        <v>83</v>
      </c>
      <c r="F23" t="str">
        <v>S</v>
      </c>
      <c r="G23" s="24" t="str">
        <v>Consonant</v>
      </c>
      <c r="I23" s="23">
        <v>81</v>
      </c>
      <c r="J23" t="str">
        <v>Q</v>
      </c>
      <c r="K23" s="24" t="str">
        <v>Consonant</v>
      </c>
      <c r="M23" s="23" t="e">
        <v>#N/A</v>
      </c>
      <c r="N23" t="e">
        <v>#N/A</v>
      </c>
      <c r="O23" s="24" t="e">
        <v>#N/A</v>
      </c>
      <c r="Q23" s="23">
        <v>83</v>
      </c>
      <c r="R23" t="str">
        <v>S</v>
      </c>
      <c r="S23" s="24" t="str">
        <v>Consonant</v>
      </c>
    </row>
    <row r="24" spans="1:19" x14ac:dyDescent="0.2">
      <c r="A24" s="23">
        <v>78</v>
      </c>
      <c r="B24" t="s">
        <v>47</v>
      </c>
      <c r="C24" s="24" t="s">
        <v>35</v>
      </c>
      <c r="E24" s="23">
        <v>84</v>
      </c>
      <c r="F24" t="str">
        <v>T</v>
      </c>
      <c r="G24" s="24" t="str">
        <v>Consonant</v>
      </c>
      <c r="I24" s="23">
        <v>82</v>
      </c>
      <c r="J24" t="str">
        <v>R</v>
      </c>
      <c r="K24" s="24" t="str">
        <v>Consonant</v>
      </c>
      <c r="M24" s="23" t="e">
        <v>#N/A</v>
      </c>
      <c r="N24" t="e">
        <v>#N/A</v>
      </c>
      <c r="O24" s="24" t="e">
        <v>#N/A</v>
      </c>
      <c r="Q24" s="23">
        <v>84</v>
      </c>
      <c r="R24" t="str">
        <v>T</v>
      </c>
      <c r="S24" s="24" t="str">
        <v>Consonant</v>
      </c>
    </row>
    <row r="25" spans="1:19" x14ac:dyDescent="0.2">
      <c r="A25" s="23">
        <v>79</v>
      </c>
      <c r="B25" t="s">
        <v>48</v>
      </c>
      <c r="C25" s="24" t="s">
        <v>33</v>
      </c>
      <c r="E25" s="23">
        <v>85</v>
      </c>
      <c r="F25" t="str">
        <v>U</v>
      </c>
      <c r="G25" s="24" t="str">
        <v>Vowel</v>
      </c>
      <c r="I25" s="23">
        <v>83</v>
      </c>
      <c r="J25" t="str">
        <v>S</v>
      </c>
      <c r="K25" s="24" t="str">
        <v>Consonant</v>
      </c>
      <c r="M25" s="23" t="e">
        <v>#N/A</v>
      </c>
      <c r="N25" t="e">
        <v>#N/A</v>
      </c>
      <c r="O25" s="24" t="e">
        <v>#N/A</v>
      </c>
      <c r="Q25" s="23" t="e">
        <v>#N/A</v>
      </c>
      <c r="R25" t="e">
        <v>#N/A</v>
      </c>
      <c r="S25" s="24" t="e">
        <v>#N/A</v>
      </c>
    </row>
    <row r="26" spans="1:19" x14ac:dyDescent="0.2">
      <c r="A26" s="23">
        <v>80</v>
      </c>
      <c r="B26" t="s">
        <v>49</v>
      </c>
      <c r="C26" s="24" t="s">
        <v>35</v>
      </c>
      <c r="E26" s="23" t="e">
        <v>#N/A</v>
      </c>
      <c r="F26" t="e">
        <v>#N/A</v>
      </c>
      <c r="G26" s="24" t="e">
        <v>#N/A</v>
      </c>
      <c r="I26" s="23">
        <v>84</v>
      </c>
      <c r="J26" t="str">
        <v>T</v>
      </c>
      <c r="K26" s="24" t="str">
        <v>Consonant</v>
      </c>
      <c r="M26" s="23" t="e">
        <v>#N/A</v>
      </c>
      <c r="N26" t="e">
        <v>#N/A</v>
      </c>
      <c r="O26" s="24" t="e">
        <v>#N/A</v>
      </c>
      <c r="Q26" s="23" t="e">
        <v>#N/A</v>
      </c>
      <c r="R26" t="e">
        <v>#N/A</v>
      </c>
      <c r="S26" s="24" t="e">
        <v>#N/A</v>
      </c>
    </row>
    <row r="27" spans="1:19" x14ac:dyDescent="0.2">
      <c r="A27" s="23">
        <v>81</v>
      </c>
      <c r="B27" t="s">
        <v>50</v>
      </c>
      <c r="C27" s="24" t="s">
        <v>35</v>
      </c>
      <c r="E27" s="23" t="e">
        <v>#N/A</v>
      </c>
      <c r="F27" t="e">
        <v>#N/A</v>
      </c>
      <c r="G27" s="24" t="e">
        <v>#N/A</v>
      </c>
      <c r="I27" s="23">
        <v>86</v>
      </c>
      <c r="J27" t="str">
        <v>V</v>
      </c>
      <c r="K27" s="24" t="str">
        <v>Consonant</v>
      </c>
      <c r="M27" s="23" t="e">
        <v>#N/A</v>
      </c>
      <c r="N27" t="e">
        <v>#N/A</v>
      </c>
      <c r="O27" s="24" t="e">
        <v>#N/A</v>
      </c>
      <c r="Q27" s="23" t="e">
        <v>#N/A</v>
      </c>
      <c r="R27" t="e">
        <v>#N/A</v>
      </c>
      <c r="S27" s="24" t="e">
        <v>#N/A</v>
      </c>
    </row>
    <row r="28" spans="1:19" x14ac:dyDescent="0.2">
      <c r="A28" s="23">
        <v>82</v>
      </c>
      <c r="B28" t="s">
        <v>51</v>
      </c>
      <c r="C28" s="24" t="s">
        <v>35</v>
      </c>
      <c r="E28" s="23" t="e">
        <v>#N/A</v>
      </c>
      <c r="F28" t="e">
        <v>#N/A</v>
      </c>
      <c r="G28" s="24" t="e">
        <v>#N/A</v>
      </c>
      <c r="I28" s="23">
        <v>87</v>
      </c>
      <c r="J28" t="str">
        <v>W</v>
      </c>
      <c r="K28" s="24" t="str">
        <v>Consonant</v>
      </c>
      <c r="M28" s="23" t="e">
        <v>#N/A</v>
      </c>
      <c r="N28" t="e">
        <v>#N/A</v>
      </c>
      <c r="O28" s="24" t="e">
        <v>#N/A</v>
      </c>
      <c r="Q28" s="23" t="e">
        <v>#N/A</v>
      </c>
      <c r="R28" t="e">
        <v>#N/A</v>
      </c>
      <c r="S28" s="24" t="e">
        <v>#N/A</v>
      </c>
    </row>
    <row r="29" spans="1:19" x14ac:dyDescent="0.2">
      <c r="A29" s="23">
        <v>83</v>
      </c>
      <c r="B29" t="s">
        <v>52</v>
      </c>
      <c r="C29" s="24" t="s">
        <v>35</v>
      </c>
      <c r="E29" s="23" t="e">
        <v>#N/A</v>
      </c>
      <c r="F29" t="e">
        <v>#N/A</v>
      </c>
      <c r="G29" s="24" t="e">
        <v>#N/A</v>
      </c>
      <c r="I29" s="23">
        <v>88</v>
      </c>
      <c r="J29" t="str">
        <v>X</v>
      </c>
      <c r="K29" s="24" t="str">
        <v>Consonant</v>
      </c>
      <c r="M29" s="23" t="e">
        <v>#N/A</v>
      </c>
      <c r="N29" t="e">
        <v>#N/A</v>
      </c>
      <c r="O29" s="24" t="e">
        <v>#N/A</v>
      </c>
      <c r="Q29" s="23" t="e">
        <v>#N/A</v>
      </c>
      <c r="R29" t="e">
        <v>#N/A</v>
      </c>
      <c r="S29" s="24" t="e">
        <v>#N/A</v>
      </c>
    </row>
    <row r="30" spans="1:19" x14ac:dyDescent="0.2">
      <c r="A30" s="23">
        <v>84</v>
      </c>
      <c r="B30" t="s">
        <v>53</v>
      </c>
      <c r="C30" s="24" t="s">
        <v>35</v>
      </c>
      <c r="E30" s="23" t="e">
        <v>#N/A</v>
      </c>
      <c r="F30" t="e">
        <v>#N/A</v>
      </c>
      <c r="G30" s="24" t="e">
        <v>#N/A</v>
      </c>
      <c r="I30" s="23">
        <v>89</v>
      </c>
      <c r="J30" t="str">
        <v>Y</v>
      </c>
      <c r="K30" s="24" t="str">
        <v>Consonant</v>
      </c>
      <c r="M30" s="23" t="e">
        <v>#N/A</v>
      </c>
      <c r="N30" t="e">
        <v>#N/A</v>
      </c>
      <c r="O30" s="24" t="e">
        <v>#N/A</v>
      </c>
      <c r="Q30" s="23" t="e">
        <v>#N/A</v>
      </c>
      <c r="R30" t="e">
        <v>#N/A</v>
      </c>
      <c r="S30" s="24" t="e">
        <v>#N/A</v>
      </c>
    </row>
    <row r="31" spans="1:19" x14ac:dyDescent="0.2">
      <c r="A31" s="23">
        <v>85</v>
      </c>
      <c r="B31" t="s">
        <v>54</v>
      </c>
      <c r="C31" s="24" t="s">
        <v>33</v>
      </c>
      <c r="E31" s="23" t="e">
        <v>#N/A</v>
      </c>
      <c r="F31" t="e">
        <v>#N/A</v>
      </c>
      <c r="G31" s="24" t="e">
        <v>#N/A</v>
      </c>
      <c r="I31" s="23">
        <v>90</v>
      </c>
      <c r="J31" t="str">
        <v>Z</v>
      </c>
      <c r="K31" s="24" t="str">
        <v>Consonant</v>
      </c>
      <c r="M31" s="23" t="e">
        <v>#N/A</v>
      </c>
      <c r="N31" t="e">
        <v>#N/A</v>
      </c>
      <c r="O31" s="24" t="e">
        <v>#N/A</v>
      </c>
      <c r="Q31" s="23" t="e">
        <v>#N/A</v>
      </c>
      <c r="R31" t="e">
        <v>#N/A</v>
      </c>
      <c r="S31" s="24" t="e">
        <v>#N/A</v>
      </c>
    </row>
    <row r="32" spans="1:19" x14ac:dyDescent="0.2">
      <c r="A32" s="23">
        <v>86</v>
      </c>
      <c r="B32" t="s">
        <v>55</v>
      </c>
      <c r="C32" s="24" t="s">
        <v>35</v>
      </c>
      <c r="E32" s="23" t="e">
        <v>#N/A</v>
      </c>
      <c r="F32" t="e">
        <v>#N/A</v>
      </c>
      <c r="G32" s="24" t="e">
        <v>#N/A</v>
      </c>
      <c r="I32" s="23" t="e">
        <v>#N/A</v>
      </c>
      <c r="J32" t="e">
        <v>#N/A</v>
      </c>
      <c r="K32" s="24" t="e">
        <v>#N/A</v>
      </c>
      <c r="M32" s="23" t="e">
        <v>#N/A</v>
      </c>
      <c r="N32" t="e">
        <v>#N/A</v>
      </c>
      <c r="O32" s="24" t="e">
        <v>#N/A</v>
      </c>
      <c r="Q32" s="23" t="e">
        <v>#N/A</v>
      </c>
      <c r="R32" t="e">
        <v>#N/A</v>
      </c>
      <c r="S32" s="24" t="e">
        <v>#N/A</v>
      </c>
    </row>
    <row r="33" spans="1:19" x14ac:dyDescent="0.2">
      <c r="A33" s="23">
        <v>87</v>
      </c>
      <c r="B33" t="s">
        <v>56</v>
      </c>
      <c r="C33" s="24" t="s">
        <v>35</v>
      </c>
      <c r="E33" s="23" t="e">
        <v>#N/A</v>
      </c>
      <c r="F33" t="e">
        <v>#N/A</v>
      </c>
      <c r="G33" s="24" t="e">
        <v>#N/A</v>
      </c>
      <c r="I33" s="23" t="e">
        <v>#N/A</v>
      </c>
      <c r="J33" t="e">
        <v>#N/A</v>
      </c>
      <c r="K33" s="24" t="e">
        <v>#N/A</v>
      </c>
      <c r="M33" s="23" t="e">
        <v>#N/A</v>
      </c>
      <c r="N33" t="e">
        <v>#N/A</v>
      </c>
      <c r="O33" s="24" t="e">
        <v>#N/A</v>
      </c>
      <c r="Q33" s="23" t="e">
        <v>#N/A</v>
      </c>
      <c r="R33" t="e">
        <v>#N/A</v>
      </c>
      <c r="S33" s="24" t="e">
        <v>#N/A</v>
      </c>
    </row>
    <row r="34" spans="1:19" x14ac:dyDescent="0.2">
      <c r="A34" s="23">
        <v>88</v>
      </c>
      <c r="B34" t="s">
        <v>57</v>
      </c>
      <c r="C34" s="24" t="s">
        <v>35</v>
      </c>
      <c r="E34" s="23" t="e">
        <v>#N/A</v>
      </c>
      <c r="F34" t="e">
        <v>#N/A</v>
      </c>
      <c r="G34" s="24" t="e">
        <v>#N/A</v>
      </c>
      <c r="I34" s="23" t="e">
        <v>#N/A</v>
      </c>
      <c r="J34" t="e">
        <v>#N/A</v>
      </c>
      <c r="K34" s="24" t="e">
        <v>#N/A</v>
      </c>
      <c r="M34" s="23" t="e">
        <v>#N/A</v>
      </c>
      <c r="N34" t="e">
        <v>#N/A</v>
      </c>
      <c r="O34" s="24" t="e">
        <v>#N/A</v>
      </c>
      <c r="Q34" s="23" t="e">
        <v>#N/A</v>
      </c>
      <c r="R34" t="e">
        <v>#N/A</v>
      </c>
      <c r="S34" s="24" t="e">
        <v>#N/A</v>
      </c>
    </row>
    <row r="35" spans="1:19" x14ac:dyDescent="0.2">
      <c r="A35" s="23">
        <v>89</v>
      </c>
      <c r="B35" t="s">
        <v>58</v>
      </c>
      <c r="C35" s="24" t="s">
        <v>35</v>
      </c>
      <c r="E35" s="23" t="e">
        <v>#N/A</v>
      </c>
      <c r="F35" t="e">
        <v>#N/A</v>
      </c>
      <c r="G35" s="24" t="e">
        <v>#N/A</v>
      </c>
      <c r="I35" s="23" t="e">
        <v>#N/A</v>
      </c>
      <c r="J35" t="e">
        <v>#N/A</v>
      </c>
      <c r="K35" s="24" t="e">
        <v>#N/A</v>
      </c>
      <c r="M35" s="23" t="e">
        <v>#N/A</v>
      </c>
      <c r="N35" t="e">
        <v>#N/A</v>
      </c>
      <c r="O35" s="24" t="e">
        <v>#N/A</v>
      </c>
      <c r="Q35" s="23" t="e">
        <v>#N/A</v>
      </c>
      <c r="R35" t="e">
        <v>#N/A</v>
      </c>
      <c r="S35" s="24" t="e">
        <v>#N/A</v>
      </c>
    </row>
    <row r="36" spans="1:19" x14ac:dyDescent="0.2">
      <c r="A36" s="25">
        <v>90</v>
      </c>
      <c r="B36" s="26" t="s">
        <v>59</v>
      </c>
      <c r="C36" s="27" t="s">
        <v>35</v>
      </c>
      <c r="E36" s="25" t="e">
        <v>#N/A</v>
      </c>
      <c r="F36" s="26" t="e">
        <v>#N/A</v>
      </c>
      <c r="G36" s="27" t="e">
        <v>#N/A</v>
      </c>
      <c r="I36" s="25" t="e">
        <v>#N/A</v>
      </c>
      <c r="J36" s="26" t="e">
        <v>#N/A</v>
      </c>
      <c r="K36" s="27" t="e">
        <v>#N/A</v>
      </c>
      <c r="M36" s="25" t="e">
        <v>#N/A</v>
      </c>
      <c r="N36" s="26" t="e">
        <v>#N/A</v>
      </c>
      <c r="O36" s="27" t="e">
        <v>#N/A</v>
      </c>
      <c r="Q36" s="25" t="e">
        <v>#N/A</v>
      </c>
      <c r="R36" s="26" t="e">
        <v>#N/A</v>
      </c>
      <c r="S36" s="27" t="e">
        <v>#N/A</v>
      </c>
    </row>
  </sheetData>
  <dataConsolidate/>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55694-0481-4668-983E-DD28950E29C5}">
  <sheetPr codeName="Sheet5"/>
  <dimension ref="A1:F32"/>
  <sheetViews>
    <sheetView workbookViewId="0">
      <pane ySplit="10" topLeftCell="A11" activePane="bottomLeft" state="frozen"/>
      <selection activeCell="A12" sqref="A12"/>
      <selection pane="bottomLeft"/>
    </sheetView>
  </sheetViews>
  <sheetFormatPr defaultRowHeight="12.75" x14ac:dyDescent="0.2"/>
  <cols>
    <col min="1" max="1" width="9.28515625" bestFit="1" customWidth="1"/>
    <col min="3" max="3" width="2.7109375" customWidth="1"/>
    <col min="4" max="4" width="9.42578125" bestFit="1" customWidth="1"/>
  </cols>
  <sheetData>
    <row r="1" spans="1:6" x14ac:dyDescent="0.2">
      <c r="A1" s="5" t="s">
        <v>60</v>
      </c>
    </row>
    <row r="3" spans="1:6" x14ac:dyDescent="0.2">
      <c r="A3" t="s">
        <v>61</v>
      </c>
    </row>
    <row r="4" spans="1:6" x14ac:dyDescent="0.2">
      <c r="A4" s="6"/>
    </row>
    <row r="5" spans="1:6" x14ac:dyDescent="0.2">
      <c r="D5" s="7" t="s">
        <v>9</v>
      </c>
      <c r="E5" s="8"/>
      <c r="F5" s="9"/>
    </row>
    <row r="6" spans="1:6" x14ac:dyDescent="0.2">
      <c r="D6" s="20" t="s">
        <v>62</v>
      </c>
      <c r="E6" s="34">
        <v>5</v>
      </c>
      <c r="F6" s="22" t="s">
        <v>63</v>
      </c>
    </row>
    <row r="7" spans="1:6" x14ac:dyDescent="0.2">
      <c r="D7" s="25" t="s">
        <v>64</v>
      </c>
      <c r="E7" s="35">
        <v>4</v>
      </c>
      <c r="F7" s="24" t="s">
        <v>65</v>
      </c>
    </row>
    <row r="9" spans="1:6" x14ac:dyDescent="0.2">
      <c r="D9" s="13" t="s">
        <v>66</v>
      </c>
    </row>
    <row r="10" spans="1:6" x14ac:dyDescent="0.2">
      <c r="A10" s="14" t="s">
        <v>27</v>
      </c>
      <c r="B10" s="16"/>
      <c r="D10" s="17" t="s">
        <v>14</v>
      </c>
      <c r="E10" s="19"/>
    </row>
    <row r="11" spans="1:6" x14ac:dyDescent="0.2">
      <c r="A11" s="23">
        <v>1</v>
      </c>
      <c r="B11" s="24" t="s">
        <v>32</v>
      </c>
      <c r="D11" s="23">
        <f t="array" ref="D11:E32">DM_INSERT($A$11:$B$18,$E$6,$E$7)</f>
        <v>1</v>
      </c>
      <c r="E11" s="24" t="str">
        <v>A</v>
      </c>
    </row>
    <row r="12" spans="1:6" x14ac:dyDescent="0.2">
      <c r="A12" s="23">
        <v>2</v>
      </c>
      <c r="B12" s="24" t="s">
        <v>34</v>
      </c>
      <c r="D12" s="23">
        <v>2</v>
      </c>
      <c r="E12" s="24" t="str">
        <v>B</v>
      </c>
    </row>
    <row r="13" spans="1:6" x14ac:dyDescent="0.2">
      <c r="A13" s="23">
        <v>3</v>
      </c>
      <c r="B13" s="24" t="s">
        <v>36</v>
      </c>
      <c r="D13" s="23">
        <v>3</v>
      </c>
      <c r="E13" s="24" t="str">
        <v>C</v>
      </c>
    </row>
    <row r="14" spans="1:6" x14ac:dyDescent="0.2">
      <c r="A14" s="23">
        <v>4</v>
      </c>
      <c r="B14" s="24" t="s">
        <v>37</v>
      </c>
      <c r="D14" s="23" t="str">
        <v/>
      </c>
      <c r="E14" s="24" t="str">
        <v/>
      </c>
    </row>
    <row r="15" spans="1:6" x14ac:dyDescent="0.2">
      <c r="A15" s="23">
        <v>5</v>
      </c>
      <c r="B15" s="24" t="s">
        <v>38</v>
      </c>
      <c r="D15" s="23" t="str">
        <v/>
      </c>
      <c r="E15" s="24" t="str">
        <v/>
      </c>
    </row>
    <row r="16" spans="1:6" x14ac:dyDescent="0.2">
      <c r="A16" s="23">
        <v>6</v>
      </c>
      <c r="B16" s="24" t="s">
        <v>39</v>
      </c>
      <c r="D16" s="23" t="str">
        <v/>
      </c>
      <c r="E16" s="24" t="str">
        <v/>
      </c>
    </row>
    <row r="17" spans="1:5" x14ac:dyDescent="0.2">
      <c r="A17" s="23">
        <v>7</v>
      </c>
      <c r="B17" s="24" t="s">
        <v>40</v>
      </c>
      <c r="D17" s="23" t="str">
        <v/>
      </c>
      <c r="E17" s="24" t="str">
        <v/>
      </c>
    </row>
    <row r="18" spans="1:5" x14ac:dyDescent="0.2">
      <c r="A18" s="25">
        <v>8</v>
      </c>
      <c r="B18" s="27" t="s">
        <v>41</v>
      </c>
      <c r="D18" s="23" t="str">
        <v/>
      </c>
      <c r="E18" s="24" t="str">
        <v/>
      </c>
    </row>
    <row r="19" spans="1:5" x14ac:dyDescent="0.2">
      <c r="D19" s="23">
        <v>4</v>
      </c>
      <c r="E19" s="24" t="str">
        <v>D</v>
      </c>
    </row>
    <row r="20" spans="1:5" x14ac:dyDescent="0.2">
      <c r="D20" s="23">
        <v>5</v>
      </c>
      <c r="E20" s="24" t="str">
        <v>E</v>
      </c>
    </row>
    <row r="21" spans="1:5" x14ac:dyDescent="0.2">
      <c r="D21" s="23">
        <v>6</v>
      </c>
      <c r="E21" s="24" t="str">
        <v>F</v>
      </c>
    </row>
    <row r="22" spans="1:5" x14ac:dyDescent="0.2">
      <c r="D22" s="23">
        <v>7</v>
      </c>
      <c r="E22" s="24" t="str">
        <v>G</v>
      </c>
    </row>
    <row r="23" spans="1:5" x14ac:dyDescent="0.2">
      <c r="D23" s="23">
        <v>8</v>
      </c>
      <c r="E23" s="24" t="str">
        <v>H</v>
      </c>
    </row>
    <row r="24" spans="1:5" x14ac:dyDescent="0.2">
      <c r="D24" s="23" t="e">
        <v>#N/A</v>
      </c>
      <c r="E24" s="24" t="e">
        <v>#N/A</v>
      </c>
    </row>
    <row r="25" spans="1:5" x14ac:dyDescent="0.2">
      <c r="D25" s="23" t="e">
        <v>#N/A</v>
      </c>
      <c r="E25" s="24" t="e">
        <v>#N/A</v>
      </c>
    </row>
    <row r="26" spans="1:5" x14ac:dyDescent="0.2">
      <c r="D26" s="23" t="e">
        <v>#N/A</v>
      </c>
      <c r="E26" s="24" t="e">
        <v>#N/A</v>
      </c>
    </row>
    <row r="27" spans="1:5" x14ac:dyDescent="0.2">
      <c r="D27" s="23" t="e">
        <v>#N/A</v>
      </c>
      <c r="E27" s="24" t="e">
        <v>#N/A</v>
      </c>
    </row>
    <row r="28" spans="1:5" x14ac:dyDescent="0.2">
      <c r="D28" s="23" t="e">
        <v>#N/A</v>
      </c>
      <c r="E28" s="24" t="e">
        <v>#N/A</v>
      </c>
    </row>
    <row r="29" spans="1:5" x14ac:dyDescent="0.2">
      <c r="D29" s="23" t="e">
        <v>#N/A</v>
      </c>
      <c r="E29" s="24" t="e">
        <v>#N/A</v>
      </c>
    </row>
    <row r="30" spans="1:5" x14ac:dyDescent="0.2">
      <c r="D30" s="23" t="e">
        <v>#N/A</v>
      </c>
      <c r="E30" s="24" t="e">
        <v>#N/A</v>
      </c>
    </row>
    <row r="31" spans="1:5" x14ac:dyDescent="0.2">
      <c r="D31" s="23" t="e">
        <v>#N/A</v>
      </c>
      <c r="E31" s="24" t="e">
        <v>#N/A</v>
      </c>
    </row>
    <row r="32" spans="1:5" x14ac:dyDescent="0.2">
      <c r="D32" s="25" t="e">
        <v>#N/A</v>
      </c>
      <c r="E32" s="27" t="e">
        <v>#N/A</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48BA37-352D-4242-BAA5-EAAE30493EBA}">
  <sheetPr codeName="Sheet13"/>
  <dimension ref="A1:I41"/>
  <sheetViews>
    <sheetView zoomScale="91" zoomScaleNormal="91" workbookViewId="0">
      <pane ySplit="12" topLeftCell="A28" activePane="bottomLeft" state="frozen"/>
      <selection activeCell="A12" sqref="A12"/>
      <selection pane="bottomLeft"/>
    </sheetView>
  </sheetViews>
  <sheetFormatPr defaultRowHeight="12.75" x14ac:dyDescent="0.2"/>
  <cols>
    <col min="1" max="1" width="9.28515625" bestFit="1" customWidth="1"/>
    <col min="2" max="2" width="9.28515625" customWidth="1"/>
    <col min="4" max="4" width="2.7109375" customWidth="1"/>
    <col min="5" max="5" width="15.5703125" customWidth="1"/>
    <col min="8" max="8" width="2.7109375" customWidth="1"/>
  </cols>
  <sheetData>
    <row r="1" spans="1:9" x14ac:dyDescent="0.2">
      <c r="A1" s="5" t="s">
        <v>67</v>
      </c>
      <c r="B1" s="5"/>
    </row>
    <row r="3" spans="1:9" x14ac:dyDescent="0.2">
      <c r="A3" t="s">
        <v>68</v>
      </c>
    </row>
    <row r="4" spans="1:9" x14ac:dyDescent="0.2">
      <c r="A4" s="6"/>
      <c r="B4" s="6"/>
    </row>
    <row r="5" spans="1:9" x14ac:dyDescent="0.2">
      <c r="E5" s="7" t="s">
        <v>9</v>
      </c>
      <c r="F5" s="8"/>
      <c r="G5" s="9"/>
    </row>
    <row r="6" spans="1:9" x14ac:dyDescent="0.2">
      <c r="E6" s="20" t="s">
        <v>62</v>
      </c>
      <c r="F6" s="34">
        <v>1</v>
      </c>
      <c r="G6" s="22" t="s">
        <v>69</v>
      </c>
    </row>
    <row r="7" spans="1:9" x14ac:dyDescent="0.2">
      <c r="E7" s="23" t="s">
        <v>70</v>
      </c>
      <c r="F7" s="36">
        <v>1</v>
      </c>
      <c r="G7" s="24" t="s">
        <v>71</v>
      </c>
    </row>
    <row r="8" spans="1:9" x14ac:dyDescent="0.2">
      <c r="E8" s="23" t="s">
        <v>72</v>
      </c>
      <c r="F8" s="36">
        <v>3</v>
      </c>
      <c r="G8" s="24" t="s">
        <v>73</v>
      </c>
    </row>
    <row r="9" spans="1:9" x14ac:dyDescent="0.2">
      <c r="E9" s="25" t="s">
        <v>74</v>
      </c>
      <c r="F9" s="35">
        <v>3</v>
      </c>
      <c r="G9" s="24" t="s">
        <v>75</v>
      </c>
    </row>
    <row r="11" spans="1:9" x14ac:dyDescent="0.2">
      <c r="E11" s="13" t="s">
        <v>76</v>
      </c>
    </row>
    <row r="12" spans="1:9" x14ac:dyDescent="0.2">
      <c r="A12" s="14" t="s">
        <v>27</v>
      </c>
      <c r="B12" s="15"/>
      <c r="C12" s="16"/>
      <c r="E12" s="17" t="s">
        <v>14</v>
      </c>
      <c r="F12" s="18"/>
      <c r="G12" s="19"/>
      <c r="I12" s="5" t="s">
        <v>77</v>
      </c>
    </row>
    <row r="13" spans="1:9" x14ac:dyDescent="0.2">
      <c r="A13" s="23">
        <v>1</v>
      </c>
      <c r="B13" t="s">
        <v>32</v>
      </c>
      <c r="C13" s="24" t="s">
        <v>78</v>
      </c>
      <c r="E13" s="23" t="str">
        <f t="array" ref="E13:G41">DM_INSERT2($A$13:$C$20,F6,F7,F8,F9)</f>
        <v/>
      </c>
      <c r="F13" t="str">
        <v/>
      </c>
      <c r="G13" s="24" t="str">
        <v/>
      </c>
    </row>
    <row r="14" spans="1:9" x14ac:dyDescent="0.2">
      <c r="A14" s="23">
        <v>1</v>
      </c>
      <c r="B14" t="s">
        <v>32</v>
      </c>
      <c r="C14" s="24" t="s">
        <v>78</v>
      </c>
      <c r="E14" s="23" t="str">
        <v/>
      </c>
      <c r="F14" t="str">
        <v/>
      </c>
      <c r="G14" s="24" t="str">
        <v/>
      </c>
    </row>
    <row r="15" spans="1:9" x14ac:dyDescent="0.2">
      <c r="A15" s="23">
        <v>1</v>
      </c>
      <c r="B15" t="s">
        <v>32</v>
      </c>
      <c r="C15" s="24" t="s">
        <v>79</v>
      </c>
      <c r="E15" s="23" t="str">
        <v/>
      </c>
      <c r="F15" t="str">
        <v/>
      </c>
      <c r="G15" s="24" t="str">
        <v/>
      </c>
    </row>
    <row r="16" spans="1:9" x14ac:dyDescent="0.2">
      <c r="A16" s="23">
        <v>2</v>
      </c>
      <c r="B16" t="s">
        <v>32</v>
      </c>
      <c r="C16" s="24" t="s">
        <v>79</v>
      </c>
      <c r="E16" s="23">
        <v>1</v>
      </c>
      <c r="F16" t="str">
        <v>A</v>
      </c>
      <c r="G16" s="24" t="str">
        <v>a</v>
      </c>
    </row>
    <row r="17" spans="1:7" x14ac:dyDescent="0.2">
      <c r="A17" s="23">
        <v>3</v>
      </c>
      <c r="B17" t="s">
        <v>34</v>
      </c>
      <c r="C17" s="24" t="s">
        <v>79</v>
      </c>
      <c r="E17" s="23">
        <v>1</v>
      </c>
      <c r="F17" t="str">
        <v>A</v>
      </c>
      <c r="G17" s="24" t="str">
        <v>a</v>
      </c>
    </row>
    <row r="18" spans="1:7" x14ac:dyDescent="0.2">
      <c r="A18" s="23">
        <v>3</v>
      </c>
      <c r="B18" t="s">
        <v>34</v>
      </c>
      <c r="C18" s="24" t="s">
        <v>80</v>
      </c>
      <c r="E18" s="23">
        <v>1</v>
      </c>
      <c r="F18" t="str">
        <v>A</v>
      </c>
      <c r="G18" s="24" t="str">
        <v>b</v>
      </c>
    </row>
    <row r="19" spans="1:7" x14ac:dyDescent="0.2">
      <c r="A19" s="23">
        <v>3</v>
      </c>
      <c r="B19" t="s">
        <v>34</v>
      </c>
      <c r="C19" s="24" t="s">
        <v>80</v>
      </c>
      <c r="E19" s="23" t="str">
        <v/>
      </c>
      <c r="F19" t="str">
        <v/>
      </c>
      <c r="G19" s="24" t="str">
        <v/>
      </c>
    </row>
    <row r="20" spans="1:7" x14ac:dyDescent="0.2">
      <c r="A20" s="25">
        <v>4</v>
      </c>
      <c r="B20" s="26" t="s">
        <v>34</v>
      </c>
      <c r="C20" s="27" t="s">
        <v>80</v>
      </c>
      <c r="E20" s="23">
        <v>2</v>
      </c>
      <c r="F20" t="str">
        <v>A</v>
      </c>
      <c r="G20" s="24" t="str">
        <v>b</v>
      </c>
    </row>
    <row r="21" spans="1:7" x14ac:dyDescent="0.2">
      <c r="E21" s="23" t="str">
        <v/>
      </c>
      <c r="F21" t="str">
        <v/>
      </c>
      <c r="G21" s="24" t="str">
        <v/>
      </c>
    </row>
    <row r="22" spans="1:7" x14ac:dyDescent="0.2">
      <c r="E22" s="23">
        <v>3</v>
      </c>
      <c r="F22" t="str">
        <v>B</v>
      </c>
      <c r="G22" s="24" t="str">
        <v>b</v>
      </c>
    </row>
    <row r="23" spans="1:7" x14ac:dyDescent="0.2">
      <c r="E23" s="23">
        <v>3</v>
      </c>
      <c r="F23" t="str">
        <v>B</v>
      </c>
      <c r="G23" s="24" t="str">
        <v>c</v>
      </c>
    </row>
    <row r="24" spans="1:7" x14ac:dyDescent="0.2">
      <c r="E24" s="23">
        <v>3</v>
      </c>
      <c r="F24" t="str">
        <v>B</v>
      </c>
      <c r="G24" s="24" t="str">
        <v>c</v>
      </c>
    </row>
    <row r="25" spans="1:7" x14ac:dyDescent="0.2">
      <c r="E25" s="23" t="str">
        <v/>
      </c>
      <c r="F25" t="str">
        <v/>
      </c>
      <c r="G25" s="24" t="str">
        <v/>
      </c>
    </row>
    <row r="26" spans="1:7" x14ac:dyDescent="0.2">
      <c r="E26" s="23">
        <v>4</v>
      </c>
      <c r="F26" t="str">
        <v>B</v>
      </c>
      <c r="G26" s="24" t="str">
        <v>c</v>
      </c>
    </row>
    <row r="27" spans="1:7" x14ac:dyDescent="0.2">
      <c r="E27" s="23" t="str">
        <v/>
      </c>
      <c r="F27" t="str">
        <v/>
      </c>
      <c r="G27" s="24" t="str">
        <v/>
      </c>
    </row>
    <row r="28" spans="1:7" x14ac:dyDescent="0.2">
      <c r="E28" s="23" t="str">
        <v/>
      </c>
      <c r="F28" t="str">
        <v/>
      </c>
      <c r="G28" s="24" t="str">
        <v/>
      </c>
    </row>
    <row r="29" spans="1:7" x14ac:dyDescent="0.2">
      <c r="E29" s="23" t="str">
        <v/>
      </c>
      <c r="F29" t="str">
        <v/>
      </c>
      <c r="G29" s="24" t="str">
        <v/>
      </c>
    </row>
    <row r="30" spans="1:7" x14ac:dyDescent="0.2">
      <c r="E30" s="23" t="e">
        <v>#N/A</v>
      </c>
      <c r="F30" t="e">
        <v>#N/A</v>
      </c>
      <c r="G30" s="24" t="e">
        <v>#N/A</v>
      </c>
    </row>
    <row r="31" spans="1:7" x14ac:dyDescent="0.2">
      <c r="E31" s="23" t="e">
        <v>#N/A</v>
      </c>
      <c r="F31" t="e">
        <v>#N/A</v>
      </c>
      <c r="G31" s="24" t="e">
        <v>#N/A</v>
      </c>
    </row>
    <row r="32" spans="1:7" x14ac:dyDescent="0.2">
      <c r="E32" s="23" t="e">
        <v>#N/A</v>
      </c>
      <c r="F32" t="e">
        <v>#N/A</v>
      </c>
      <c r="G32" s="24" t="e">
        <v>#N/A</v>
      </c>
    </row>
    <row r="33" spans="5:7" x14ac:dyDescent="0.2">
      <c r="E33" s="23" t="e">
        <v>#N/A</v>
      </c>
      <c r="F33" t="e">
        <v>#N/A</v>
      </c>
      <c r="G33" s="24" t="e">
        <v>#N/A</v>
      </c>
    </row>
    <row r="34" spans="5:7" x14ac:dyDescent="0.2">
      <c r="E34" s="23" t="e">
        <v>#N/A</v>
      </c>
      <c r="F34" t="e">
        <v>#N/A</v>
      </c>
      <c r="G34" s="24" t="e">
        <v>#N/A</v>
      </c>
    </row>
    <row r="35" spans="5:7" x14ac:dyDescent="0.2">
      <c r="E35" s="23" t="e">
        <v>#N/A</v>
      </c>
      <c r="F35" t="e">
        <v>#N/A</v>
      </c>
      <c r="G35" s="24" t="e">
        <v>#N/A</v>
      </c>
    </row>
    <row r="36" spans="5:7" x14ac:dyDescent="0.2">
      <c r="E36" s="23" t="e">
        <v>#N/A</v>
      </c>
      <c r="F36" t="e">
        <v>#N/A</v>
      </c>
      <c r="G36" s="24" t="e">
        <v>#N/A</v>
      </c>
    </row>
    <row r="37" spans="5:7" x14ac:dyDescent="0.2">
      <c r="E37" s="23" t="e">
        <v>#N/A</v>
      </c>
      <c r="F37" t="e">
        <v>#N/A</v>
      </c>
      <c r="G37" s="24" t="e">
        <v>#N/A</v>
      </c>
    </row>
    <row r="38" spans="5:7" x14ac:dyDescent="0.2">
      <c r="E38" s="23" t="e">
        <v>#N/A</v>
      </c>
      <c r="F38" t="e">
        <v>#N/A</v>
      </c>
      <c r="G38" s="24" t="e">
        <v>#N/A</v>
      </c>
    </row>
    <row r="39" spans="5:7" x14ac:dyDescent="0.2">
      <c r="E39" s="23" t="e">
        <v>#N/A</v>
      </c>
      <c r="F39" t="e">
        <v>#N/A</v>
      </c>
      <c r="G39" s="24" t="e">
        <v>#N/A</v>
      </c>
    </row>
    <row r="40" spans="5:7" x14ac:dyDescent="0.2">
      <c r="E40" s="23" t="e">
        <v>#N/A</v>
      </c>
      <c r="F40" t="e">
        <v>#N/A</v>
      </c>
      <c r="G40" s="24" t="e">
        <v>#N/A</v>
      </c>
    </row>
    <row r="41" spans="5:7" x14ac:dyDescent="0.2">
      <c r="E41" s="25" t="e">
        <v>#N/A</v>
      </c>
      <c r="F41" s="26" t="e">
        <v>#N/A</v>
      </c>
      <c r="G41" s="27" t="e">
        <v>#N/A</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5EDBB5-C19E-41B7-BF63-FB71D05A7A94}">
  <sheetPr codeName="Sheet11"/>
  <dimension ref="A1:AE30"/>
  <sheetViews>
    <sheetView workbookViewId="0">
      <pane ySplit="9" topLeftCell="A10" activePane="bottomLeft" state="frozen"/>
      <selection activeCell="A12" sqref="A12"/>
      <selection pane="bottomLeft"/>
    </sheetView>
  </sheetViews>
  <sheetFormatPr defaultRowHeight="12.75" x14ac:dyDescent="0.2"/>
  <cols>
    <col min="5" max="5" width="2.7109375" customWidth="1"/>
    <col min="14" max="14" width="2.7109375" customWidth="1"/>
    <col min="23" max="23" width="2.7109375" customWidth="1"/>
  </cols>
  <sheetData>
    <row r="1" spans="1:31" x14ac:dyDescent="0.2">
      <c r="A1" s="5" t="s">
        <v>81</v>
      </c>
    </row>
    <row r="3" spans="1:31" x14ac:dyDescent="0.2">
      <c r="A3" t="s">
        <v>82</v>
      </c>
    </row>
    <row r="5" spans="1:31" x14ac:dyDescent="0.2">
      <c r="F5" s="7" t="s">
        <v>9</v>
      </c>
      <c r="G5" s="8"/>
      <c r="H5" s="9"/>
    </row>
    <row r="6" spans="1:31" x14ac:dyDescent="0.2">
      <c r="F6" s="25" t="s">
        <v>83</v>
      </c>
      <c r="G6" s="35" t="b">
        <v>1</v>
      </c>
      <c r="H6" s="27" t="s">
        <v>84</v>
      </c>
    </row>
    <row r="8" spans="1:31" x14ac:dyDescent="0.2">
      <c r="F8" s="13" t="s">
        <v>85</v>
      </c>
      <c r="O8" s="13" t="s">
        <v>86</v>
      </c>
      <c r="X8" s="13" t="s">
        <v>87</v>
      </c>
    </row>
    <row r="9" spans="1:31" x14ac:dyDescent="0.2">
      <c r="A9" s="14" t="s">
        <v>13</v>
      </c>
      <c r="B9" s="15"/>
      <c r="C9" s="15"/>
      <c r="D9" s="16"/>
      <c r="F9" s="17" t="s">
        <v>28</v>
      </c>
      <c r="G9" s="18"/>
      <c r="H9" s="18"/>
      <c r="I9" s="18"/>
      <c r="J9" s="18"/>
      <c r="K9" s="18"/>
      <c r="L9" s="18"/>
      <c r="M9" s="19"/>
      <c r="O9" s="17" t="s">
        <v>29</v>
      </c>
      <c r="P9" s="18"/>
      <c r="Q9" s="18"/>
      <c r="R9" s="18"/>
      <c r="S9" s="18"/>
      <c r="T9" s="18"/>
      <c r="U9" s="18"/>
      <c r="V9" s="19"/>
      <c r="X9" s="17" t="s">
        <v>30</v>
      </c>
      <c r="Y9" s="18"/>
      <c r="Z9" s="18"/>
      <c r="AA9" s="18"/>
      <c r="AB9" s="18"/>
      <c r="AC9" s="18"/>
      <c r="AD9" s="18"/>
      <c r="AE9" s="19"/>
    </row>
    <row r="10" spans="1:31" x14ac:dyDescent="0.2">
      <c r="A10" s="20">
        <v>1</v>
      </c>
      <c r="B10" s="21">
        <v>2</v>
      </c>
      <c r="C10" s="21">
        <v>3</v>
      </c>
      <c r="D10" s="22">
        <v>4</v>
      </c>
      <c r="F10" s="20">
        <f t="array" ref="F10:M19">DM_MERGE($A$10:$D$13,$A$16:$D$19,$G$6)</f>
        <v>1</v>
      </c>
      <c r="G10" s="21">
        <v>2</v>
      </c>
      <c r="H10" s="21">
        <v>3</v>
      </c>
      <c r="I10" s="21">
        <v>4</v>
      </c>
      <c r="J10" s="21" t="e">
        <v>#N/A</v>
      </c>
      <c r="K10" s="21" t="e">
        <v>#N/A</v>
      </c>
      <c r="L10" s="21" t="e">
        <v>#N/A</v>
      </c>
      <c r="M10" s="22" t="e">
        <v>#N/A</v>
      </c>
      <c r="O10" s="20" t="e">
        <f t="array" ref="O10:V19">DM_MERGE($A$10:$D$13,$A$16:$B$19,$G$6)</f>
        <v>#VALUE!</v>
      </c>
      <c r="P10" s="21" t="e">
        <v>#VALUE!</v>
      </c>
      <c r="Q10" s="21" t="e">
        <v>#VALUE!</v>
      </c>
      <c r="R10" s="21" t="e">
        <v>#VALUE!</v>
      </c>
      <c r="S10" s="21" t="e">
        <v>#VALUE!</v>
      </c>
      <c r="T10" s="21" t="e">
        <v>#VALUE!</v>
      </c>
      <c r="U10" s="21" t="e">
        <v>#VALUE!</v>
      </c>
      <c r="V10" s="22" t="e">
        <v>#VALUE!</v>
      </c>
      <c r="X10" s="20">
        <f t="array" ref="X10:AE19">DM_MERGE($A$10:$D$13,$A$16:$D$18,$G$6)</f>
        <v>1</v>
      </c>
      <c r="Y10" s="21">
        <v>2</v>
      </c>
      <c r="Z10" s="21">
        <v>3</v>
      </c>
      <c r="AA10" s="21">
        <v>4</v>
      </c>
      <c r="AB10" s="21" t="e">
        <v>#N/A</v>
      </c>
      <c r="AC10" s="21" t="e">
        <v>#N/A</v>
      </c>
      <c r="AD10" s="21" t="e">
        <v>#N/A</v>
      </c>
      <c r="AE10" s="22" t="e">
        <v>#N/A</v>
      </c>
    </row>
    <row r="11" spans="1:31" x14ac:dyDescent="0.2">
      <c r="A11" s="23">
        <v>5</v>
      </c>
      <c r="B11">
        <v>6</v>
      </c>
      <c r="C11">
        <v>7</v>
      </c>
      <c r="D11" s="24">
        <v>8</v>
      </c>
      <c r="F11" s="23">
        <v>5</v>
      </c>
      <c r="G11">
        <v>6</v>
      </c>
      <c r="H11">
        <v>7</v>
      </c>
      <c r="I11">
        <v>8</v>
      </c>
      <c r="J11" t="e">
        <v>#N/A</v>
      </c>
      <c r="K11" t="e">
        <v>#N/A</v>
      </c>
      <c r="L11" t="e">
        <v>#N/A</v>
      </c>
      <c r="M11" s="24" t="e">
        <v>#N/A</v>
      </c>
      <c r="O11" s="23" t="e">
        <v>#VALUE!</v>
      </c>
      <c r="P11" t="e">
        <v>#VALUE!</v>
      </c>
      <c r="Q11" t="e">
        <v>#VALUE!</v>
      </c>
      <c r="R11" t="e">
        <v>#VALUE!</v>
      </c>
      <c r="S11" t="e">
        <v>#VALUE!</v>
      </c>
      <c r="T11" t="e">
        <v>#VALUE!</v>
      </c>
      <c r="U11" t="e">
        <v>#VALUE!</v>
      </c>
      <c r="V11" s="24" t="e">
        <v>#VALUE!</v>
      </c>
      <c r="X11" s="23">
        <v>5</v>
      </c>
      <c r="Y11">
        <v>6</v>
      </c>
      <c r="Z11">
        <v>7</v>
      </c>
      <c r="AA11">
        <v>8</v>
      </c>
      <c r="AB11" t="e">
        <v>#N/A</v>
      </c>
      <c r="AC11" t="e">
        <v>#N/A</v>
      </c>
      <c r="AD11" t="e">
        <v>#N/A</v>
      </c>
      <c r="AE11" s="24" t="e">
        <v>#N/A</v>
      </c>
    </row>
    <row r="12" spans="1:31" x14ac:dyDescent="0.2">
      <c r="A12" s="23">
        <v>9</v>
      </c>
      <c r="B12">
        <v>10</v>
      </c>
      <c r="C12">
        <v>11</v>
      </c>
      <c r="D12" s="24">
        <v>12</v>
      </c>
      <c r="F12" s="23">
        <v>9</v>
      </c>
      <c r="G12">
        <v>10</v>
      </c>
      <c r="H12">
        <v>11</v>
      </c>
      <c r="I12">
        <v>12</v>
      </c>
      <c r="J12" t="e">
        <v>#N/A</v>
      </c>
      <c r="K12" t="e">
        <v>#N/A</v>
      </c>
      <c r="L12" t="e">
        <v>#N/A</v>
      </c>
      <c r="M12" s="24" t="e">
        <v>#N/A</v>
      </c>
      <c r="O12" s="23" t="e">
        <v>#VALUE!</v>
      </c>
      <c r="P12" t="e">
        <v>#VALUE!</v>
      </c>
      <c r="Q12" t="e">
        <v>#VALUE!</v>
      </c>
      <c r="R12" t="e">
        <v>#VALUE!</v>
      </c>
      <c r="S12" t="e">
        <v>#VALUE!</v>
      </c>
      <c r="T12" t="e">
        <v>#VALUE!</v>
      </c>
      <c r="U12" t="e">
        <v>#VALUE!</v>
      </c>
      <c r="V12" s="24" t="e">
        <v>#VALUE!</v>
      </c>
      <c r="X12" s="23">
        <v>9</v>
      </c>
      <c r="Y12">
        <v>10</v>
      </c>
      <c r="Z12">
        <v>11</v>
      </c>
      <c r="AA12">
        <v>12</v>
      </c>
      <c r="AB12" t="e">
        <v>#N/A</v>
      </c>
      <c r="AC12" t="e">
        <v>#N/A</v>
      </c>
      <c r="AD12" t="e">
        <v>#N/A</v>
      </c>
      <c r="AE12" s="24" t="e">
        <v>#N/A</v>
      </c>
    </row>
    <row r="13" spans="1:31" x14ac:dyDescent="0.2">
      <c r="A13" s="25">
        <v>13</v>
      </c>
      <c r="B13" s="26">
        <v>14</v>
      </c>
      <c r="C13" s="26">
        <v>15</v>
      </c>
      <c r="D13" s="27">
        <v>16</v>
      </c>
      <c r="F13" s="23">
        <v>13</v>
      </c>
      <c r="G13">
        <v>14</v>
      </c>
      <c r="H13">
        <v>15</v>
      </c>
      <c r="I13">
        <v>16</v>
      </c>
      <c r="J13" t="e">
        <v>#N/A</v>
      </c>
      <c r="K13" t="e">
        <v>#N/A</v>
      </c>
      <c r="L13" t="e">
        <v>#N/A</v>
      </c>
      <c r="M13" s="24" t="e">
        <v>#N/A</v>
      </c>
      <c r="O13" s="23" t="e">
        <v>#VALUE!</v>
      </c>
      <c r="P13" t="e">
        <v>#VALUE!</v>
      </c>
      <c r="Q13" t="e">
        <v>#VALUE!</v>
      </c>
      <c r="R13" t="e">
        <v>#VALUE!</v>
      </c>
      <c r="S13" t="e">
        <v>#VALUE!</v>
      </c>
      <c r="T13" t="e">
        <v>#VALUE!</v>
      </c>
      <c r="U13" t="e">
        <v>#VALUE!</v>
      </c>
      <c r="V13" s="24" t="e">
        <v>#VALUE!</v>
      </c>
      <c r="X13" s="23">
        <v>13</v>
      </c>
      <c r="Y13">
        <v>14</v>
      </c>
      <c r="Z13">
        <v>15</v>
      </c>
      <c r="AA13">
        <v>16</v>
      </c>
      <c r="AB13" t="e">
        <v>#N/A</v>
      </c>
      <c r="AC13" t="e">
        <v>#N/A</v>
      </c>
      <c r="AD13" t="e">
        <v>#N/A</v>
      </c>
      <c r="AE13" s="24" t="e">
        <v>#N/A</v>
      </c>
    </row>
    <row r="14" spans="1:31" x14ac:dyDescent="0.2">
      <c r="F14" s="23">
        <v>17</v>
      </c>
      <c r="G14">
        <v>18</v>
      </c>
      <c r="H14">
        <v>19</v>
      </c>
      <c r="I14">
        <v>20</v>
      </c>
      <c r="J14" t="e">
        <v>#N/A</v>
      </c>
      <c r="K14" t="e">
        <v>#N/A</v>
      </c>
      <c r="L14" t="e">
        <v>#N/A</v>
      </c>
      <c r="M14" s="24" t="e">
        <v>#N/A</v>
      </c>
      <c r="O14" s="23" t="e">
        <v>#VALUE!</v>
      </c>
      <c r="P14" t="e">
        <v>#VALUE!</v>
      </c>
      <c r="Q14" t="e">
        <v>#VALUE!</v>
      </c>
      <c r="R14" t="e">
        <v>#VALUE!</v>
      </c>
      <c r="S14" t="e">
        <v>#VALUE!</v>
      </c>
      <c r="T14" t="e">
        <v>#VALUE!</v>
      </c>
      <c r="U14" t="e">
        <v>#VALUE!</v>
      </c>
      <c r="V14" s="24" t="e">
        <v>#VALUE!</v>
      </c>
      <c r="X14" s="23">
        <v>17</v>
      </c>
      <c r="Y14">
        <v>18</v>
      </c>
      <c r="Z14">
        <v>19</v>
      </c>
      <c r="AA14">
        <v>20</v>
      </c>
      <c r="AB14" t="e">
        <v>#N/A</v>
      </c>
      <c r="AC14" t="e">
        <v>#N/A</v>
      </c>
      <c r="AD14" t="e">
        <v>#N/A</v>
      </c>
      <c r="AE14" s="24" t="e">
        <v>#N/A</v>
      </c>
    </row>
    <row r="15" spans="1:31" x14ac:dyDescent="0.2">
      <c r="A15" s="31" t="s">
        <v>15</v>
      </c>
      <c r="B15" s="32"/>
      <c r="C15" s="32"/>
      <c r="D15" s="33"/>
      <c r="F15" s="23">
        <v>21</v>
      </c>
      <c r="G15">
        <v>22</v>
      </c>
      <c r="H15">
        <v>23</v>
      </c>
      <c r="I15">
        <v>24</v>
      </c>
      <c r="J15" t="e">
        <v>#N/A</v>
      </c>
      <c r="K15" t="e">
        <v>#N/A</v>
      </c>
      <c r="L15" t="e">
        <v>#N/A</v>
      </c>
      <c r="M15" s="24" t="e">
        <v>#N/A</v>
      </c>
      <c r="O15" s="23" t="e">
        <v>#VALUE!</v>
      </c>
      <c r="P15" t="e">
        <v>#VALUE!</v>
      </c>
      <c r="Q15" t="e">
        <v>#VALUE!</v>
      </c>
      <c r="R15" t="e">
        <v>#VALUE!</v>
      </c>
      <c r="S15" t="e">
        <v>#VALUE!</v>
      </c>
      <c r="T15" t="e">
        <v>#VALUE!</v>
      </c>
      <c r="U15" t="e">
        <v>#VALUE!</v>
      </c>
      <c r="V15" s="24" t="e">
        <v>#VALUE!</v>
      </c>
      <c r="X15" s="23">
        <v>21</v>
      </c>
      <c r="Y15">
        <v>22</v>
      </c>
      <c r="Z15">
        <v>23</v>
      </c>
      <c r="AA15">
        <v>24</v>
      </c>
      <c r="AB15" t="e">
        <v>#N/A</v>
      </c>
      <c r="AC15" t="e">
        <v>#N/A</v>
      </c>
      <c r="AD15" t="e">
        <v>#N/A</v>
      </c>
      <c r="AE15" s="24" t="e">
        <v>#N/A</v>
      </c>
    </row>
    <row r="16" spans="1:31" x14ac:dyDescent="0.2">
      <c r="A16" s="20">
        <v>17</v>
      </c>
      <c r="B16" s="21">
        <v>18</v>
      </c>
      <c r="C16" s="21">
        <v>19</v>
      </c>
      <c r="D16" s="22">
        <v>20</v>
      </c>
      <c r="F16" s="23">
        <v>25</v>
      </c>
      <c r="G16">
        <v>26</v>
      </c>
      <c r="H16">
        <v>27</v>
      </c>
      <c r="I16">
        <v>28</v>
      </c>
      <c r="J16" t="e">
        <v>#N/A</v>
      </c>
      <c r="K16" t="e">
        <v>#N/A</v>
      </c>
      <c r="L16" t="e">
        <v>#N/A</v>
      </c>
      <c r="M16" s="24" t="e">
        <v>#N/A</v>
      </c>
      <c r="O16" s="23" t="e">
        <v>#VALUE!</v>
      </c>
      <c r="P16" t="e">
        <v>#VALUE!</v>
      </c>
      <c r="Q16" t="e">
        <v>#VALUE!</v>
      </c>
      <c r="R16" t="e">
        <v>#VALUE!</v>
      </c>
      <c r="S16" t="e">
        <v>#VALUE!</v>
      </c>
      <c r="T16" t="e">
        <v>#VALUE!</v>
      </c>
      <c r="U16" t="e">
        <v>#VALUE!</v>
      </c>
      <c r="V16" s="24" t="e">
        <v>#VALUE!</v>
      </c>
      <c r="X16" s="23">
        <v>25</v>
      </c>
      <c r="Y16">
        <v>26</v>
      </c>
      <c r="Z16">
        <v>27</v>
      </c>
      <c r="AA16">
        <v>28</v>
      </c>
      <c r="AB16" t="e">
        <v>#N/A</v>
      </c>
      <c r="AC16" t="e">
        <v>#N/A</v>
      </c>
      <c r="AD16" t="e">
        <v>#N/A</v>
      </c>
      <c r="AE16" s="24" t="e">
        <v>#N/A</v>
      </c>
    </row>
    <row r="17" spans="1:31" x14ac:dyDescent="0.2">
      <c r="A17" s="23">
        <v>21</v>
      </c>
      <c r="B17">
        <v>22</v>
      </c>
      <c r="C17">
        <v>23</v>
      </c>
      <c r="D17" s="24">
        <v>24</v>
      </c>
      <c r="F17" s="23">
        <v>29</v>
      </c>
      <c r="G17">
        <v>30</v>
      </c>
      <c r="H17">
        <v>31</v>
      </c>
      <c r="I17">
        <v>32</v>
      </c>
      <c r="J17" t="e">
        <v>#N/A</v>
      </c>
      <c r="K17" t="e">
        <v>#N/A</v>
      </c>
      <c r="L17" t="e">
        <v>#N/A</v>
      </c>
      <c r="M17" s="24" t="e">
        <v>#N/A</v>
      </c>
      <c r="O17" s="23" t="e">
        <v>#VALUE!</v>
      </c>
      <c r="P17" t="e">
        <v>#VALUE!</v>
      </c>
      <c r="Q17" t="e">
        <v>#VALUE!</v>
      </c>
      <c r="R17" t="e">
        <v>#VALUE!</v>
      </c>
      <c r="S17" t="e">
        <v>#VALUE!</v>
      </c>
      <c r="T17" t="e">
        <v>#VALUE!</v>
      </c>
      <c r="U17" t="e">
        <v>#VALUE!</v>
      </c>
      <c r="V17" s="24" t="e">
        <v>#VALUE!</v>
      </c>
      <c r="X17" s="23" t="e">
        <v>#N/A</v>
      </c>
      <c r="Y17" t="e">
        <v>#N/A</v>
      </c>
      <c r="Z17" t="e">
        <v>#N/A</v>
      </c>
      <c r="AA17" t="e">
        <v>#N/A</v>
      </c>
      <c r="AB17" t="e">
        <v>#N/A</v>
      </c>
      <c r="AC17" t="e">
        <v>#N/A</v>
      </c>
      <c r="AD17" t="e">
        <v>#N/A</v>
      </c>
      <c r="AE17" s="24" t="e">
        <v>#N/A</v>
      </c>
    </row>
    <row r="18" spans="1:31" x14ac:dyDescent="0.2">
      <c r="A18" s="23">
        <v>25</v>
      </c>
      <c r="B18">
        <v>26</v>
      </c>
      <c r="C18">
        <v>27</v>
      </c>
      <c r="D18" s="24">
        <v>28</v>
      </c>
      <c r="F18" s="23" t="e">
        <v>#N/A</v>
      </c>
      <c r="G18" t="e">
        <v>#N/A</v>
      </c>
      <c r="H18" t="e">
        <v>#N/A</v>
      </c>
      <c r="I18" t="e">
        <v>#N/A</v>
      </c>
      <c r="J18" t="e">
        <v>#N/A</v>
      </c>
      <c r="K18" t="e">
        <v>#N/A</v>
      </c>
      <c r="L18" t="e">
        <v>#N/A</v>
      </c>
      <c r="M18" s="24" t="e">
        <v>#N/A</v>
      </c>
      <c r="O18" s="23" t="e">
        <v>#VALUE!</v>
      </c>
      <c r="P18" t="e">
        <v>#VALUE!</v>
      </c>
      <c r="Q18" t="e">
        <v>#VALUE!</v>
      </c>
      <c r="R18" t="e">
        <v>#VALUE!</v>
      </c>
      <c r="S18" t="e">
        <v>#VALUE!</v>
      </c>
      <c r="T18" t="e">
        <v>#VALUE!</v>
      </c>
      <c r="U18" t="e">
        <v>#VALUE!</v>
      </c>
      <c r="V18" s="24" t="e">
        <v>#VALUE!</v>
      </c>
      <c r="X18" s="23" t="e">
        <v>#N/A</v>
      </c>
      <c r="Y18" t="e">
        <v>#N/A</v>
      </c>
      <c r="Z18" t="e">
        <v>#N/A</v>
      </c>
      <c r="AA18" t="e">
        <v>#N/A</v>
      </c>
      <c r="AB18" t="e">
        <v>#N/A</v>
      </c>
      <c r="AC18" t="e">
        <v>#N/A</v>
      </c>
      <c r="AD18" t="e">
        <v>#N/A</v>
      </c>
      <c r="AE18" s="24" t="e">
        <v>#N/A</v>
      </c>
    </row>
    <row r="19" spans="1:31" x14ac:dyDescent="0.2">
      <c r="A19" s="25">
        <v>29</v>
      </c>
      <c r="B19" s="26">
        <v>30</v>
      </c>
      <c r="C19" s="26">
        <v>31</v>
      </c>
      <c r="D19" s="27">
        <v>32</v>
      </c>
      <c r="F19" s="25" t="e">
        <v>#N/A</v>
      </c>
      <c r="G19" s="26" t="e">
        <v>#N/A</v>
      </c>
      <c r="H19" s="26" t="e">
        <v>#N/A</v>
      </c>
      <c r="I19" s="26" t="e">
        <v>#N/A</v>
      </c>
      <c r="J19" s="26" t="e">
        <v>#N/A</v>
      </c>
      <c r="K19" s="26" t="e">
        <v>#N/A</v>
      </c>
      <c r="L19" s="26" t="e">
        <v>#N/A</v>
      </c>
      <c r="M19" s="27" t="e">
        <v>#N/A</v>
      </c>
      <c r="O19" s="25" t="e">
        <v>#VALUE!</v>
      </c>
      <c r="P19" s="26" t="e">
        <v>#VALUE!</v>
      </c>
      <c r="Q19" s="26" t="e">
        <v>#VALUE!</v>
      </c>
      <c r="R19" s="26" t="e">
        <v>#VALUE!</v>
      </c>
      <c r="S19" s="26" t="e">
        <v>#VALUE!</v>
      </c>
      <c r="T19" s="26" t="e">
        <v>#VALUE!</v>
      </c>
      <c r="U19" s="26" t="e">
        <v>#VALUE!</v>
      </c>
      <c r="V19" s="27" t="e">
        <v>#VALUE!</v>
      </c>
      <c r="X19" s="25" t="e">
        <v>#N/A</v>
      </c>
      <c r="Y19" s="26" t="e">
        <v>#N/A</v>
      </c>
      <c r="Z19" s="26" t="e">
        <v>#N/A</v>
      </c>
      <c r="AA19" s="26" t="e">
        <v>#N/A</v>
      </c>
      <c r="AB19" s="26" t="e">
        <v>#N/A</v>
      </c>
      <c r="AC19" s="26" t="e">
        <v>#N/A</v>
      </c>
      <c r="AD19" s="26" t="e">
        <v>#N/A</v>
      </c>
      <c r="AE19" s="27" t="e">
        <v>#N/A</v>
      </c>
    </row>
    <row r="21" spans="1:31" x14ac:dyDescent="0.2">
      <c r="F21" s="13" t="s">
        <v>88</v>
      </c>
    </row>
    <row r="22" spans="1:31" x14ac:dyDescent="0.2">
      <c r="F22" s="17" t="s">
        <v>31</v>
      </c>
      <c r="G22" s="18"/>
      <c r="H22" s="18"/>
      <c r="I22" s="19"/>
    </row>
    <row r="23" spans="1:31" x14ac:dyDescent="0.2">
      <c r="F23" s="20">
        <f t="array" ref="F23:I30">DM_ARRAY(4,A10:D13,A16:D19)</f>
        <v>1</v>
      </c>
      <c r="G23" s="21">
        <v>2</v>
      </c>
      <c r="H23" s="21">
        <v>3</v>
      </c>
      <c r="I23" s="22">
        <v>4</v>
      </c>
    </row>
    <row r="24" spans="1:31" x14ac:dyDescent="0.2">
      <c r="F24" s="23">
        <v>5</v>
      </c>
      <c r="G24">
        <v>6</v>
      </c>
      <c r="H24">
        <v>7</v>
      </c>
      <c r="I24" s="24">
        <v>8</v>
      </c>
    </row>
    <row r="25" spans="1:31" x14ac:dyDescent="0.2">
      <c r="F25" s="23">
        <v>9</v>
      </c>
      <c r="G25">
        <v>10</v>
      </c>
      <c r="H25">
        <v>11</v>
      </c>
      <c r="I25" s="24">
        <v>12</v>
      </c>
    </row>
    <row r="26" spans="1:31" x14ac:dyDescent="0.2">
      <c r="F26" s="23">
        <v>13</v>
      </c>
      <c r="G26">
        <v>14</v>
      </c>
      <c r="H26">
        <v>15</v>
      </c>
      <c r="I26" s="24">
        <v>16</v>
      </c>
    </row>
    <row r="27" spans="1:31" x14ac:dyDescent="0.2">
      <c r="F27" s="23">
        <v>17</v>
      </c>
      <c r="G27">
        <v>18</v>
      </c>
      <c r="H27">
        <v>19</v>
      </c>
      <c r="I27" s="24">
        <v>20</v>
      </c>
    </row>
    <row r="28" spans="1:31" x14ac:dyDescent="0.2">
      <c r="F28" s="23">
        <v>21</v>
      </c>
      <c r="G28">
        <v>22</v>
      </c>
      <c r="H28">
        <v>23</v>
      </c>
      <c r="I28" s="24">
        <v>24</v>
      </c>
    </row>
    <row r="29" spans="1:31" x14ac:dyDescent="0.2">
      <c r="F29" s="23">
        <v>25</v>
      </c>
      <c r="G29">
        <v>26</v>
      </c>
      <c r="H29">
        <v>27</v>
      </c>
      <c r="I29" s="24">
        <v>28</v>
      </c>
    </row>
    <row r="30" spans="1:31" x14ac:dyDescent="0.2">
      <c r="F30" s="25">
        <v>29</v>
      </c>
      <c r="G30" s="26">
        <v>30</v>
      </c>
      <c r="H30" s="26">
        <v>31</v>
      </c>
      <c r="I30" s="27">
        <v>32</v>
      </c>
    </row>
  </sheetData>
  <dataValidations count="1">
    <dataValidation type="list" allowBlank="1" showInputMessage="1" showErrorMessage="1" sqref="G6" xr:uid="{FF829D80-2BCE-43E2-9AC7-DF406E1525D2}">
      <formula1>"TRUE,FALSE"</formula1>
    </dataValidation>
  </dataValidations>
  <pageMargins left="0.7" right="0.7" top="0.75" bottom="0.75" header="0.3" footer="0.3"/>
  <pageSetup paperSize="9"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A2BB4-3EE4-49EA-89BC-6B436AB94019}">
  <sheetPr codeName="Sheet3"/>
  <dimension ref="A1:T14"/>
  <sheetViews>
    <sheetView workbookViewId="0">
      <pane ySplit="10" topLeftCell="A11" activePane="bottomLeft" state="frozen"/>
      <selection activeCell="A12" sqref="A12"/>
      <selection pane="bottomLeft"/>
    </sheetView>
  </sheetViews>
  <sheetFormatPr defaultRowHeight="12.75" x14ac:dyDescent="0.2"/>
  <cols>
    <col min="7" max="7" width="2.7109375" customWidth="1"/>
    <col min="8" max="8" width="10" bestFit="1" customWidth="1"/>
    <col min="14" max="14" width="2.7109375" customWidth="1"/>
  </cols>
  <sheetData>
    <row r="1" spans="1:20" x14ac:dyDescent="0.2">
      <c r="A1" s="5" t="s">
        <v>89</v>
      </c>
    </row>
    <row r="3" spans="1:20" x14ac:dyDescent="0.2">
      <c r="A3" t="s">
        <v>90</v>
      </c>
    </row>
    <row r="5" spans="1:20" x14ac:dyDescent="0.2">
      <c r="H5" s="7" t="s">
        <v>9</v>
      </c>
      <c r="I5" s="8"/>
      <c r="J5" s="9"/>
    </row>
    <row r="6" spans="1:20" x14ac:dyDescent="0.2">
      <c r="H6" s="20" t="s">
        <v>91</v>
      </c>
      <c r="I6" s="34">
        <v>3</v>
      </c>
      <c r="J6" s="22" t="s">
        <v>92</v>
      </c>
    </row>
    <row r="7" spans="1:20" x14ac:dyDescent="0.2">
      <c r="H7" s="25" t="s">
        <v>93</v>
      </c>
      <c r="I7" s="35" t="b">
        <v>0</v>
      </c>
      <c r="J7" s="27" t="s">
        <v>94</v>
      </c>
    </row>
    <row r="9" spans="1:20" x14ac:dyDescent="0.2">
      <c r="H9" s="13" t="s">
        <v>95</v>
      </c>
      <c r="O9" s="13" t="s">
        <v>96</v>
      </c>
    </row>
    <row r="10" spans="1:20" x14ac:dyDescent="0.2">
      <c r="A10" s="14" t="s">
        <v>27</v>
      </c>
      <c r="B10" s="15"/>
      <c r="C10" s="15"/>
      <c r="D10" s="15"/>
      <c r="E10" s="15"/>
      <c r="F10" s="16"/>
      <c r="H10" s="17" t="s">
        <v>28</v>
      </c>
      <c r="I10" s="18"/>
      <c r="J10" s="18"/>
      <c r="K10" s="18"/>
      <c r="L10" s="18"/>
      <c r="M10" s="19"/>
      <c r="O10" s="17" t="s">
        <v>29</v>
      </c>
      <c r="P10" s="18"/>
      <c r="Q10" s="18"/>
      <c r="R10" s="18"/>
      <c r="S10" s="18"/>
      <c r="T10" s="19"/>
    </row>
    <row r="11" spans="1:20" x14ac:dyDescent="0.2">
      <c r="A11" s="20">
        <v>1</v>
      </c>
      <c r="B11" s="21">
        <v>2</v>
      </c>
      <c r="C11" s="21">
        <v>3</v>
      </c>
      <c r="D11" s="21">
        <v>4</v>
      </c>
      <c r="E11" s="21">
        <v>5</v>
      </c>
      <c r="F11" s="22">
        <v>6</v>
      </c>
      <c r="H11" s="20">
        <f t="array" ref="H11:M14">DM_REVERSE(A11:F14,I6,I7)</f>
        <v>4</v>
      </c>
      <c r="I11" s="21">
        <v>5</v>
      </c>
      <c r="J11" s="21">
        <v>6</v>
      </c>
      <c r="K11" s="21">
        <v>1</v>
      </c>
      <c r="L11" s="21">
        <v>2</v>
      </c>
      <c r="M11" s="22">
        <v>3</v>
      </c>
      <c r="O11" s="10">
        <f t="array" ref="O11:T11">DM_REVERSE({1,2,3,4,5,6},I6,I7)</f>
        <v>4</v>
      </c>
      <c r="P11" s="37">
        <v>5</v>
      </c>
      <c r="Q11" s="37">
        <v>6</v>
      </c>
      <c r="R11" s="37">
        <v>1</v>
      </c>
      <c r="S11" s="37">
        <v>2</v>
      </c>
      <c r="T11" s="12">
        <v>3</v>
      </c>
    </row>
    <row r="12" spans="1:20" x14ac:dyDescent="0.2">
      <c r="A12" s="23">
        <v>7</v>
      </c>
      <c r="B12">
        <v>8</v>
      </c>
      <c r="C12">
        <v>9</v>
      </c>
      <c r="D12">
        <v>10</v>
      </c>
      <c r="E12">
        <v>11</v>
      </c>
      <c r="F12" s="24">
        <v>12</v>
      </c>
      <c r="H12" s="23">
        <v>10</v>
      </c>
      <c r="I12">
        <v>11</v>
      </c>
      <c r="J12">
        <v>12</v>
      </c>
      <c r="K12">
        <v>7</v>
      </c>
      <c r="L12">
        <v>8</v>
      </c>
      <c r="M12" s="24">
        <v>9</v>
      </c>
    </row>
    <row r="13" spans="1:20" x14ac:dyDescent="0.2">
      <c r="A13" s="23">
        <v>13</v>
      </c>
      <c r="B13">
        <v>14</v>
      </c>
      <c r="C13">
        <v>15</v>
      </c>
      <c r="D13">
        <v>16</v>
      </c>
      <c r="E13">
        <v>17</v>
      </c>
      <c r="F13" s="24">
        <v>18</v>
      </c>
      <c r="H13" s="23">
        <v>16</v>
      </c>
      <c r="I13">
        <v>17</v>
      </c>
      <c r="J13">
        <v>18</v>
      </c>
      <c r="K13">
        <v>13</v>
      </c>
      <c r="L13">
        <v>14</v>
      </c>
      <c r="M13" s="24">
        <v>15</v>
      </c>
    </row>
    <row r="14" spans="1:20" x14ac:dyDescent="0.2">
      <c r="A14" s="25">
        <v>19</v>
      </c>
      <c r="B14" s="26">
        <v>20</v>
      </c>
      <c r="C14" s="26">
        <v>21</v>
      </c>
      <c r="D14" s="26">
        <v>22</v>
      </c>
      <c r="E14" s="26">
        <v>23</v>
      </c>
      <c r="F14" s="27">
        <v>24</v>
      </c>
      <c r="H14" s="25">
        <v>22</v>
      </c>
      <c r="I14" s="26">
        <v>23</v>
      </c>
      <c r="J14" s="26">
        <v>24</v>
      </c>
      <c r="K14" s="26">
        <v>19</v>
      </c>
      <c r="L14" s="26">
        <v>20</v>
      </c>
      <c r="M14" s="27">
        <v>21</v>
      </c>
    </row>
  </sheetData>
  <dataValidations count="1">
    <dataValidation type="list" allowBlank="1" showInputMessage="1" showErrorMessage="1" sqref="I7" xr:uid="{B6382D8B-B5F8-49BA-9451-8CA4926EB7DF}">
      <formula1>"TRUE,FALSE"</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02A15B-0E43-4841-9F18-CD53A6480B1A}">
  <sheetPr codeName="Sheet8"/>
  <dimension ref="A1:C37"/>
  <sheetViews>
    <sheetView workbookViewId="0">
      <pane ySplit="12" topLeftCell="A13" activePane="bottomLeft" state="frozen"/>
      <selection activeCell="A12" sqref="A12"/>
      <selection pane="bottomLeft"/>
    </sheetView>
  </sheetViews>
  <sheetFormatPr defaultRowHeight="12.75" x14ac:dyDescent="0.2"/>
  <cols>
    <col min="1" max="1" width="16" customWidth="1"/>
  </cols>
  <sheetData>
    <row r="1" spans="1:3" x14ac:dyDescent="0.2">
      <c r="A1" s="5" t="s">
        <v>97</v>
      </c>
    </row>
    <row r="3" spans="1:3" x14ac:dyDescent="0.2">
      <c r="A3" t="s">
        <v>98</v>
      </c>
    </row>
    <row r="5" spans="1:3" x14ac:dyDescent="0.2">
      <c r="A5" s="38" t="s">
        <v>99</v>
      </c>
      <c r="B5" s="39"/>
      <c r="C5" s="40"/>
    </row>
    <row r="6" spans="1:3" x14ac:dyDescent="0.2">
      <c r="A6" s="23" t="s">
        <v>62</v>
      </c>
      <c r="B6" s="36">
        <v>10</v>
      </c>
      <c r="C6" s="24" t="s">
        <v>100</v>
      </c>
    </row>
    <row r="7" spans="1:3" x14ac:dyDescent="0.2">
      <c r="A7" s="23" t="s">
        <v>10</v>
      </c>
      <c r="B7" s="36">
        <v>3</v>
      </c>
      <c r="C7" s="24" t="s">
        <v>101</v>
      </c>
    </row>
    <row r="8" spans="1:3" x14ac:dyDescent="0.2">
      <c r="A8" s="23" t="s">
        <v>102</v>
      </c>
      <c r="B8" s="36">
        <v>1</v>
      </c>
      <c r="C8" s="24" t="s">
        <v>103</v>
      </c>
    </row>
    <row r="9" spans="1:3" x14ac:dyDescent="0.2">
      <c r="A9" s="25" t="s">
        <v>104</v>
      </c>
      <c r="B9" s="35">
        <v>1</v>
      </c>
      <c r="C9" s="27" t="s">
        <v>105</v>
      </c>
    </row>
    <row r="11" spans="1:3" x14ac:dyDescent="0.2">
      <c r="A11" s="13" t="s">
        <v>106</v>
      </c>
    </row>
    <row r="12" spans="1:3" x14ac:dyDescent="0.2">
      <c r="A12" s="17" t="s">
        <v>14</v>
      </c>
      <c r="B12" s="18"/>
      <c r="C12" s="19"/>
    </row>
    <row r="13" spans="1:3" x14ac:dyDescent="0.2">
      <c r="A13" s="20">
        <f t="array" ref="A13:C37">DM_SEQUENCE($B$6,$B$7,$B$8,$B$9)</f>
        <v>1</v>
      </c>
      <c r="B13" s="21">
        <v>2</v>
      </c>
      <c r="C13" s="22">
        <v>3</v>
      </c>
    </row>
    <row r="14" spans="1:3" x14ac:dyDescent="0.2">
      <c r="A14" s="23">
        <v>4</v>
      </c>
      <c r="B14">
        <v>5</v>
      </c>
      <c r="C14" s="24">
        <v>6</v>
      </c>
    </row>
    <row r="15" spans="1:3" x14ac:dyDescent="0.2">
      <c r="A15" s="23">
        <v>7</v>
      </c>
      <c r="B15">
        <v>8</v>
      </c>
      <c r="C15" s="24">
        <v>9</v>
      </c>
    </row>
    <row r="16" spans="1:3" x14ac:dyDescent="0.2">
      <c r="A16" s="23">
        <v>10</v>
      </c>
      <c r="B16">
        <v>11</v>
      </c>
      <c r="C16" s="24">
        <v>12</v>
      </c>
    </row>
    <row r="17" spans="1:3" x14ac:dyDescent="0.2">
      <c r="A17" s="23">
        <v>13</v>
      </c>
      <c r="B17">
        <v>14</v>
      </c>
      <c r="C17" s="24">
        <v>15</v>
      </c>
    </row>
    <row r="18" spans="1:3" x14ac:dyDescent="0.2">
      <c r="A18" s="23">
        <v>16</v>
      </c>
      <c r="B18">
        <v>17</v>
      </c>
      <c r="C18" s="24">
        <v>18</v>
      </c>
    </row>
    <row r="19" spans="1:3" x14ac:dyDescent="0.2">
      <c r="A19" s="23">
        <v>19</v>
      </c>
      <c r="B19">
        <v>20</v>
      </c>
      <c r="C19" s="24">
        <v>21</v>
      </c>
    </row>
    <row r="20" spans="1:3" x14ac:dyDescent="0.2">
      <c r="A20" s="23">
        <v>22</v>
      </c>
      <c r="B20">
        <v>23</v>
      </c>
      <c r="C20" s="24">
        <v>24</v>
      </c>
    </row>
    <row r="21" spans="1:3" x14ac:dyDescent="0.2">
      <c r="A21" s="23">
        <v>25</v>
      </c>
      <c r="B21">
        <v>26</v>
      </c>
      <c r="C21" s="24">
        <v>27</v>
      </c>
    </row>
    <row r="22" spans="1:3" x14ac:dyDescent="0.2">
      <c r="A22" s="23">
        <v>28</v>
      </c>
      <c r="B22">
        <v>29</v>
      </c>
      <c r="C22" s="24">
        <v>30</v>
      </c>
    </row>
    <row r="23" spans="1:3" x14ac:dyDescent="0.2">
      <c r="A23" s="23" t="e">
        <v>#N/A</v>
      </c>
      <c r="B23" t="e">
        <v>#N/A</v>
      </c>
      <c r="C23" s="24" t="e">
        <v>#N/A</v>
      </c>
    </row>
    <row r="24" spans="1:3" x14ac:dyDescent="0.2">
      <c r="A24" s="23" t="e">
        <v>#N/A</v>
      </c>
      <c r="B24" t="e">
        <v>#N/A</v>
      </c>
      <c r="C24" s="24" t="e">
        <v>#N/A</v>
      </c>
    </row>
    <row r="25" spans="1:3" x14ac:dyDescent="0.2">
      <c r="A25" s="23" t="e">
        <v>#N/A</v>
      </c>
      <c r="B25" t="e">
        <v>#N/A</v>
      </c>
      <c r="C25" s="24" t="e">
        <v>#N/A</v>
      </c>
    </row>
    <row r="26" spans="1:3" x14ac:dyDescent="0.2">
      <c r="A26" s="23" t="e">
        <v>#N/A</v>
      </c>
      <c r="B26" t="e">
        <v>#N/A</v>
      </c>
      <c r="C26" s="24" t="e">
        <v>#N/A</v>
      </c>
    </row>
    <row r="27" spans="1:3" x14ac:dyDescent="0.2">
      <c r="A27" s="23" t="e">
        <v>#N/A</v>
      </c>
      <c r="B27" t="e">
        <v>#N/A</v>
      </c>
      <c r="C27" s="24" t="e">
        <v>#N/A</v>
      </c>
    </row>
    <row r="28" spans="1:3" x14ac:dyDescent="0.2">
      <c r="A28" s="23" t="e">
        <v>#N/A</v>
      </c>
      <c r="B28" t="e">
        <v>#N/A</v>
      </c>
      <c r="C28" s="24" t="e">
        <v>#N/A</v>
      </c>
    </row>
    <row r="29" spans="1:3" x14ac:dyDescent="0.2">
      <c r="A29" s="23" t="e">
        <v>#N/A</v>
      </c>
      <c r="B29" t="e">
        <v>#N/A</v>
      </c>
      <c r="C29" s="24" t="e">
        <v>#N/A</v>
      </c>
    </row>
    <row r="30" spans="1:3" x14ac:dyDescent="0.2">
      <c r="A30" s="23" t="e">
        <v>#N/A</v>
      </c>
      <c r="B30" t="e">
        <v>#N/A</v>
      </c>
      <c r="C30" s="24" t="e">
        <v>#N/A</v>
      </c>
    </row>
    <row r="31" spans="1:3" x14ac:dyDescent="0.2">
      <c r="A31" s="23" t="e">
        <v>#N/A</v>
      </c>
      <c r="B31" t="e">
        <v>#N/A</v>
      </c>
      <c r="C31" s="24" t="e">
        <v>#N/A</v>
      </c>
    </row>
    <row r="32" spans="1:3" x14ac:dyDescent="0.2">
      <c r="A32" s="23" t="e">
        <v>#N/A</v>
      </c>
      <c r="B32" t="e">
        <v>#N/A</v>
      </c>
      <c r="C32" s="24" t="e">
        <v>#N/A</v>
      </c>
    </row>
    <row r="33" spans="1:3" x14ac:dyDescent="0.2">
      <c r="A33" s="23" t="e">
        <v>#N/A</v>
      </c>
      <c r="B33" t="e">
        <v>#N/A</v>
      </c>
      <c r="C33" s="24" t="e">
        <v>#N/A</v>
      </c>
    </row>
    <row r="34" spans="1:3" x14ac:dyDescent="0.2">
      <c r="A34" s="23" t="e">
        <v>#N/A</v>
      </c>
      <c r="B34" t="e">
        <v>#N/A</v>
      </c>
      <c r="C34" s="24" t="e">
        <v>#N/A</v>
      </c>
    </row>
    <row r="35" spans="1:3" x14ac:dyDescent="0.2">
      <c r="A35" s="23" t="e">
        <v>#N/A</v>
      </c>
      <c r="B35" t="e">
        <v>#N/A</v>
      </c>
      <c r="C35" s="24" t="e">
        <v>#N/A</v>
      </c>
    </row>
    <row r="36" spans="1:3" x14ac:dyDescent="0.2">
      <c r="A36" s="23" t="e">
        <v>#N/A</v>
      </c>
      <c r="B36" t="e">
        <v>#N/A</v>
      </c>
      <c r="C36" s="24" t="e">
        <v>#N/A</v>
      </c>
    </row>
    <row r="37" spans="1:3" x14ac:dyDescent="0.2">
      <c r="A37" s="25" t="e">
        <v>#N/A</v>
      </c>
      <c r="B37" s="26" t="e">
        <v>#N/A</v>
      </c>
      <c r="C37" s="27" t="e">
        <v>#N/A</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0135D0-AFCB-4B12-B110-B00210F4C756}">
  <sheetPr codeName="Sheet4"/>
  <dimension ref="A1:AA27"/>
  <sheetViews>
    <sheetView workbookViewId="0">
      <pane ySplit="12" topLeftCell="A13" activePane="bottomLeft" state="frozen"/>
      <selection activeCell="A12" sqref="A12"/>
      <selection pane="bottomLeft"/>
    </sheetView>
  </sheetViews>
  <sheetFormatPr defaultRowHeight="12.75" x14ac:dyDescent="0.2"/>
  <cols>
    <col min="7" max="7" width="2.7109375" customWidth="1"/>
    <col min="8" max="8" width="10.5703125" customWidth="1"/>
    <col min="14" max="14" width="2.7109375" customWidth="1"/>
    <col min="15" max="20" width="9.7109375" customWidth="1"/>
    <col min="21" max="21" width="2.7109375" customWidth="1"/>
  </cols>
  <sheetData>
    <row r="1" spans="1:27" x14ac:dyDescent="0.2">
      <c r="A1" s="5" t="s">
        <v>107</v>
      </c>
    </row>
    <row r="3" spans="1:27" x14ac:dyDescent="0.2">
      <c r="A3" t="s">
        <v>108</v>
      </c>
    </row>
    <row r="5" spans="1:27" x14ac:dyDescent="0.2">
      <c r="H5" s="7" t="s">
        <v>9</v>
      </c>
      <c r="I5" s="8"/>
      <c r="J5" s="9"/>
    </row>
    <row r="6" spans="1:27" x14ac:dyDescent="0.2">
      <c r="H6" s="20" t="s">
        <v>109</v>
      </c>
      <c r="I6" s="34">
        <v>1</v>
      </c>
      <c r="J6" s="22" t="s">
        <v>110</v>
      </c>
    </row>
    <row r="7" spans="1:27" x14ac:dyDescent="0.2">
      <c r="H7" s="23" t="s">
        <v>111</v>
      </c>
      <c r="I7" s="36">
        <v>1</v>
      </c>
      <c r="J7" s="24" t="s">
        <v>112</v>
      </c>
    </row>
    <row r="8" spans="1:27" x14ac:dyDescent="0.2">
      <c r="H8" s="23" t="s">
        <v>113</v>
      </c>
      <c r="I8" s="36">
        <v>3</v>
      </c>
      <c r="J8" s="24" t="s">
        <v>178</v>
      </c>
    </row>
    <row r="9" spans="1:27" x14ac:dyDescent="0.2">
      <c r="H9" s="25" t="s">
        <v>114</v>
      </c>
      <c r="I9" s="35">
        <v>5</v>
      </c>
      <c r="J9" s="27" t="s">
        <v>179</v>
      </c>
    </row>
    <row r="11" spans="1:27" x14ac:dyDescent="0.2">
      <c r="H11" s="13" t="s">
        <v>115</v>
      </c>
      <c r="O11" s="13" t="s">
        <v>116</v>
      </c>
      <c r="V11" s="13" t="s">
        <v>117</v>
      </c>
    </row>
    <row r="12" spans="1:27" x14ac:dyDescent="0.2">
      <c r="A12" s="14" t="s">
        <v>13</v>
      </c>
      <c r="B12" s="15"/>
      <c r="C12" s="15"/>
      <c r="D12" s="15"/>
      <c r="E12" s="15"/>
      <c r="F12" s="16"/>
      <c r="H12" s="17" t="s">
        <v>28</v>
      </c>
      <c r="I12" s="18"/>
      <c r="J12" s="18"/>
      <c r="K12" s="18"/>
      <c r="L12" s="18"/>
      <c r="M12" s="19"/>
      <c r="O12" s="17" t="s">
        <v>31</v>
      </c>
      <c r="P12" s="18"/>
      <c r="Q12" s="18"/>
      <c r="R12" s="18"/>
      <c r="S12" s="18"/>
      <c r="T12" s="19"/>
      <c r="V12" s="17" t="s">
        <v>118</v>
      </c>
      <c r="W12" s="18"/>
      <c r="X12" s="18"/>
      <c r="Y12" s="18"/>
      <c r="Z12" s="18"/>
      <c r="AA12" s="19"/>
    </row>
    <row r="13" spans="1:27" x14ac:dyDescent="0.2">
      <c r="A13" s="20">
        <v>1</v>
      </c>
      <c r="B13" s="21">
        <v>2</v>
      </c>
      <c r="C13" s="21">
        <v>3</v>
      </c>
      <c r="D13" s="21">
        <v>4</v>
      </c>
      <c r="E13" s="21">
        <v>5</v>
      </c>
      <c r="F13" s="22">
        <v>6</v>
      </c>
      <c r="H13" s="20">
        <f t="array" ref="H13:M16">DM_SLICE($A$13:$F$16,$I$6,$I$7,$I$8,$I$9)</f>
        <v>1</v>
      </c>
      <c r="I13" s="21">
        <v>2</v>
      </c>
      <c r="J13" s="21">
        <v>3</v>
      </c>
      <c r="K13" s="21">
        <v>4</v>
      </c>
      <c r="L13" s="21">
        <v>5</v>
      </c>
      <c r="M13" s="22" t="e">
        <v>#N/A</v>
      </c>
      <c r="O13" s="20">
        <f t="array" ref="O13:T16">INDEX($A$13:$F$16,$I$6,$I$7):INDEX($A$13:$F$16,$I$6+$I$8-1,$I$7+$I$9-1)</f>
        <v>1</v>
      </c>
      <c r="P13" s="21">
        <v>2</v>
      </c>
      <c r="Q13" s="21">
        <v>3</v>
      </c>
      <c r="R13" s="21">
        <v>4</v>
      </c>
      <c r="S13" s="21">
        <v>5</v>
      </c>
      <c r="T13" s="22" t="e">
        <v>#N/A</v>
      </c>
      <c r="V13" s="20">
        <f t="array" ref="V13:AA16">INDEX($A$13:$F$16,$I$6,$I$7):INDEX($A$13:$F$16,MIN($I$6+$I$8-1,ROW($A$16)-ROW($A$13)+1),MIN($I$7+$I$9-1,COLUMN($F$13)-COLUMN($A$13)+1))</f>
        <v>1</v>
      </c>
      <c r="W13" s="21">
        <v>2</v>
      </c>
      <c r="X13" s="21">
        <v>3</v>
      </c>
      <c r="Y13" s="21">
        <v>4</v>
      </c>
      <c r="Z13" s="21">
        <v>5</v>
      </c>
      <c r="AA13" s="22" t="e">
        <v>#N/A</v>
      </c>
    </row>
    <row r="14" spans="1:27" x14ac:dyDescent="0.2">
      <c r="A14" s="23">
        <v>7</v>
      </c>
      <c r="B14">
        <v>8</v>
      </c>
      <c r="C14">
        <v>9</v>
      </c>
      <c r="D14">
        <v>10</v>
      </c>
      <c r="E14">
        <v>11</v>
      </c>
      <c r="F14" s="24">
        <v>12</v>
      </c>
      <c r="H14" s="23">
        <v>7</v>
      </c>
      <c r="I14">
        <v>8</v>
      </c>
      <c r="J14">
        <v>9</v>
      </c>
      <c r="K14">
        <v>10</v>
      </c>
      <c r="L14">
        <v>11</v>
      </c>
      <c r="M14" s="24" t="e">
        <v>#N/A</v>
      </c>
      <c r="O14" s="23">
        <v>7</v>
      </c>
      <c r="P14">
        <v>8</v>
      </c>
      <c r="Q14">
        <v>9</v>
      </c>
      <c r="R14">
        <v>10</v>
      </c>
      <c r="S14">
        <v>11</v>
      </c>
      <c r="T14" s="24" t="e">
        <v>#N/A</v>
      </c>
      <c r="V14" s="23">
        <v>7</v>
      </c>
      <c r="W14">
        <v>8</v>
      </c>
      <c r="X14">
        <v>9</v>
      </c>
      <c r="Y14">
        <v>10</v>
      </c>
      <c r="Z14">
        <v>11</v>
      </c>
      <c r="AA14" s="24" t="e">
        <v>#N/A</v>
      </c>
    </row>
    <row r="15" spans="1:27" x14ac:dyDescent="0.2">
      <c r="A15" s="23">
        <v>13</v>
      </c>
      <c r="B15">
        <v>14</v>
      </c>
      <c r="C15">
        <v>15</v>
      </c>
      <c r="D15">
        <v>16</v>
      </c>
      <c r="E15">
        <v>17</v>
      </c>
      <c r="F15" s="24">
        <v>18</v>
      </c>
      <c r="H15" s="23">
        <v>13</v>
      </c>
      <c r="I15">
        <v>14</v>
      </c>
      <c r="J15">
        <v>15</v>
      </c>
      <c r="K15">
        <v>16</v>
      </c>
      <c r="L15">
        <v>17</v>
      </c>
      <c r="M15" s="24" t="e">
        <v>#N/A</v>
      </c>
      <c r="O15" s="23">
        <v>13</v>
      </c>
      <c r="P15">
        <v>14</v>
      </c>
      <c r="Q15">
        <v>15</v>
      </c>
      <c r="R15">
        <v>16</v>
      </c>
      <c r="S15">
        <v>17</v>
      </c>
      <c r="T15" s="24" t="e">
        <v>#N/A</v>
      </c>
      <c r="V15" s="23">
        <v>13</v>
      </c>
      <c r="W15">
        <v>14</v>
      </c>
      <c r="X15">
        <v>15</v>
      </c>
      <c r="Y15">
        <v>16</v>
      </c>
      <c r="Z15">
        <v>17</v>
      </c>
      <c r="AA15" s="24" t="e">
        <v>#N/A</v>
      </c>
    </row>
    <row r="16" spans="1:27" x14ac:dyDescent="0.2">
      <c r="A16" s="25">
        <v>19</v>
      </c>
      <c r="B16" s="26">
        <v>20</v>
      </c>
      <c r="C16" s="26">
        <v>21</v>
      </c>
      <c r="D16" s="26">
        <v>22</v>
      </c>
      <c r="E16" s="26">
        <v>23</v>
      </c>
      <c r="F16" s="27">
        <v>24</v>
      </c>
      <c r="H16" s="25" t="e">
        <v>#N/A</v>
      </c>
      <c r="I16" s="26" t="e">
        <v>#N/A</v>
      </c>
      <c r="J16" s="26" t="e">
        <v>#N/A</v>
      </c>
      <c r="K16" s="26" t="e">
        <v>#N/A</v>
      </c>
      <c r="L16" s="26" t="e">
        <v>#N/A</v>
      </c>
      <c r="M16" s="27" t="e">
        <v>#N/A</v>
      </c>
      <c r="O16" s="25" t="e">
        <v>#N/A</v>
      </c>
      <c r="P16" s="26" t="e">
        <v>#N/A</v>
      </c>
      <c r="Q16" s="26" t="e">
        <v>#N/A</v>
      </c>
      <c r="R16" s="26" t="e">
        <v>#N/A</v>
      </c>
      <c r="S16" s="26" t="e">
        <v>#N/A</v>
      </c>
      <c r="T16" s="27" t="e">
        <v>#N/A</v>
      </c>
      <c r="V16" s="25" t="e">
        <v>#N/A</v>
      </c>
      <c r="W16" s="26" t="e">
        <v>#N/A</v>
      </c>
      <c r="X16" s="26" t="e">
        <v>#N/A</v>
      </c>
      <c r="Y16" s="26" t="e">
        <v>#N/A</v>
      </c>
      <c r="Z16" s="26" t="e">
        <v>#N/A</v>
      </c>
      <c r="AA16" s="27" t="e">
        <v>#N/A</v>
      </c>
    </row>
    <row r="18" spans="1:15" x14ac:dyDescent="0.2">
      <c r="H18" s="13" t="s">
        <v>119</v>
      </c>
    </row>
    <row r="19" spans="1:15" x14ac:dyDescent="0.2">
      <c r="H19" s="17" t="s">
        <v>29</v>
      </c>
      <c r="I19" s="18"/>
      <c r="J19" s="18"/>
      <c r="K19" s="18"/>
      <c r="L19" s="18"/>
      <c r="M19" s="19"/>
      <c r="O19" s="5" t="s">
        <v>77</v>
      </c>
    </row>
    <row r="20" spans="1:15" ht="12.75" customHeight="1" x14ac:dyDescent="0.2">
      <c r="H20" s="20">
        <f t="array" ref="H20:M23">DM_SLICE({1,2,3,4,5,6;7,8,9,10,11,12;13,14,15,16,17,18;19,20,21,22,23,24},$I$6,$I$7,$I$8,$I$9)</f>
        <v>1</v>
      </c>
      <c r="I20" s="21">
        <v>2</v>
      </c>
      <c r="J20" s="21">
        <v>3</v>
      </c>
      <c r="K20" s="21">
        <v>4</v>
      </c>
      <c r="L20" s="21">
        <v>5</v>
      </c>
      <c r="M20" s="22" t="e">
        <v>#N/A</v>
      </c>
      <c r="O20" t="s">
        <v>120</v>
      </c>
    </row>
    <row r="21" spans="1:15" x14ac:dyDescent="0.2">
      <c r="H21" s="23">
        <v>7</v>
      </c>
      <c r="I21">
        <v>8</v>
      </c>
      <c r="J21">
        <v>9</v>
      </c>
      <c r="K21">
        <v>10</v>
      </c>
      <c r="L21">
        <v>11</v>
      </c>
      <c r="M21" s="24" t="e">
        <v>#N/A</v>
      </c>
      <c r="O21" t="s">
        <v>121</v>
      </c>
    </row>
    <row r="22" spans="1:15" x14ac:dyDescent="0.2">
      <c r="H22" s="23">
        <v>13</v>
      </c>
      <c r="I22">
        <v>14</v>
      </c>
      <c r="J22">
        <v>15</v>
      </c>
      <c r="K22">
        <v>16</v>
      </c>
      <c r="L22">
        <v>17</v>
      </c>
      <c r="M22" s="24" t="e">
        <v>#N/A</v>
      </c>
      <c r="O22" t="s">
        <v>122</v>
      </c>
    </row>
    <row r="23" spans="1:15" x14ac:dyDescent="0.2">
      <c r="H23" s="25" t="e">
        <v>#N/A</v>
      </c>
      <c r="I23" s="26" t="e">
        <v>#N/A</v>
      </c>
      <c r="J23" s="26" t="e">
        <v>#N/A</v>
      </c>
      <c r="K23" s="26" t="e">
        <v>#N/A</v>
      </c>
      <c r="L23" s="26" t="e">
        <v>#N/A</v>
      </c>
      <c r="M23" s="27" t="e">
        <v>#N/A</v>
      </c>
    </row>
    <row r="25" spans="1:15" x14ac:dyDescent="0.2">
      <c r="H25" s="13" t="s">
        <v>123</v>
      </c>
    </row>
    <row r="26" spans="1:15" x14ac:dyDescent="0.2">
      <c r="A26" s="14" t="s">
        <v>15</v>
      </c>
      <c r="B26" s="15"/>
      <c r="C26" s="15"/>
      <c r="D26" s="15"/>
      <c r="E26" s="15"/>
      <c r="F26" s="16"/>
      <c r="H26" s="17" t="s">
        <v>30</v>
      </c>
      <c r="I26" s="18"/>
      <c r="J26" s="18"/>
      <c r="K26" s="18"/>
      <c r="L26" s="18"/>
      <c r="M26" s="19"/>
    </row>
    <row r="27" spans="1:15" x14ac:dyDescent="0.2">
      <c r="A27" s="10">
        <v>1</v>
      </c>
      <c r="B27" s="37">
        <v>2</v>
      </c>
      <c r="C27" s="37"/>
      <c r="D27" s="37">
        <v>4</v>
      </c>
      <c r="E27" s="37">
        <v>5</v>
      </c>
      <c r="F27" s="12">
        <v>6</v>
      </c>
      <c r="H27" s="25">
        <f t="array" ref="H27:M27">DM_SLICE(DM_ARRAY(0,$A$27:$F$27),$I$6,$I$7,$I$8,$I$9)</f>
        <v>1</v>
      </c>
      <c r="I27" s="26">
        <v>2</v>
      </c>
      <c r="J27" s="26" t="str">
        <v/>
      </c>
      <c r="K27" s="26">
        <v>4</v>
      </c>
      <c r="L27" s="26">
        <v>5</v>
      </c>
      <c r="M27" s="27" t="e">
        <v>#N/A</v>
      </c>
    </row>
  </sheetData>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61ADAC-C81A-47F6-A6AE-E158218F92E2}">
  <sheetPr codeName="Sheet7"/>
  <dimension ref="A1:O43"/>
  <sheetViews>
    <sheetView workbookViewId="0">
      <pane ySplit="13" topLeftCell="A14" activePane="bottomLeft" state="frozen"/>
      <selection activeCell="A12" sqref="A12"/>
      <selection pane="bottomLeft"/>
    </sheetView>
  </sheetViews>
  <sheetFormatPr defaultRowHeight="12.75" x14ac:dyDescent="0.2"/>
  <cols>
    <col min="4" max="4" width="2.7109375" customWidth="1"/>
    <col min="5" max="5" width="9.85546875" customWidth="1"/>
    <col min="8" max="8" width="2.7109375" customWidth="1"/>
    <col min="9" max="9" width="21.42578125" customWidth="1"/>
    <col min="12" max="12" width="2.7109375" customWidth="1"/>
  </cols>
  <sheetData>
    <row r="1" spans="1:15" x14ac:dyDescent="0.2">
      <c r="A1" s="5" t="s">
        <v>124</v>
      </c>
    </row>
    <row r="3" spans="1:15" x14ac:dyDescent="0.2">
      <c r="A3" t="s">
        <v>125</v>
      </c>
    </row>
    <row r="5" spans="1:15" x14ac:dyDescent="0.2">
      <c r="I5" s="7" t="s">
        <v>9</v>
      </c>
      <c r="J5" s="8"/>
      <c r="K5" s="9"/>
    </row>
    <row r="6" spans="1:15" x14ac:dyDescent="0.2">
      <c r="I6" s="20" t="s">
        <v>126</v>
      </c>
      <c r="J6" s="34">
        <v>1</v>
      </c>
      <c r="K6" s="22" t="s">
        <v>127</v>
      </c>
    </row>
    <row r="7" spans="1:15" x14ac:dyDescent="0.2">
      <c r="I7" s="23" t="s">
        <v>128</v>
      </c>
      <c r="J7" s="36" t="b">
        <v>0</v>
      </c>
      <c r="K7" s="24" t="s">
        <v>129</v>
      </c>
    </row>
    <row r="8" spans="1:15" x14ac:dyDescent="0.2">
      <c r="I8" s="23" t="s">
        <v>130</v>
      </c>
      <c r="J8" s="36" t="b">
        <v>0</v>
      </c>
      <c r="K8" s="24" t="s">
        <v>131</v>
      </c>
    </row>
    <row r="9" spans="1:15" x14ac:dyDescent="0.2">
      <c r="I9" s="23" t="s">
        <v>132</v>
      </c>
      <c r="J9" s="36" t="b">
        <v>1</v>
      </c>
      <c r="K9" s="24" t="s">
        <v>133</v>
      </c>
    </row>
    <row r="10" spans="1:15" x14ac:dyDescent="0.2">
      <c r="I10" s="25" t="s">
        <v>134</v>
      </c>
      <c r="J10" s="41" t="b">
        <v>1</v>
      </c>
      <c r="K10" s="27" t="s">
        <v>135</v>
      </c>
    </row>
    <row r="11" spans="1:15" x14ac:dyDescent="0.2">
      <c r="A11" s="30"/>
    </row>
    <row r="12" spans="1:15" x14ac:dyDescent="0.2">
      <c r="A12" s="30"/>
      <c r="E12" s="13" t="s">
        <v>136</v>
      </c>
      <c r="I12" s="13" t="s">
        <v>137</v>
      </c>
      <c r="M12" s="13" t="s">
        <v>138</v>
      </c>
    </row>
    <row r="13" spans="1:15" x14ac:dyDescent="0.2">
      <c r="A13" s="31" t="s">
        <v>27</v>
      </c>
      <c r="B13" s="32"/>
      <c r="C13" s="33"/>
      <c r="E13" s="42" t="s">
        <v>28</v>
      </c>
      <c r="F13" s="43"/>
      <c r="G13" s="44"/>
      <c r="I13" s="42" t="s">
        <v>29</v>
      </c>
      <c r="J13" s="43"/>
      <c r="K13" s="44"/>
      <c r="M13" s="42" t="s">
        <v>30</v>
      </c>
      <c r="N13" s="43"/>
      <c r="O13" s="44"/>
    </row>
    <row r="14" spans="1:15" x14ac:dyDescent="0.2">
      <c r="A14" s="20">
        <v>2</v>
      </c>
      <c r="B14" s="21">
        <v>1</v>
      </c>
      <c r="C14" s="22" t="s">
        <v>139</v>
      </c>
      <c r="E14" s="20">
        <f t="array" ref="E14:G43">DM_SORT($A$14:$C$39)</f>
        <v>1</v>
      </c>
      <c r="F14" s="21">
        <v>2</v>
      </c>
      <c r="G14" s="22" t="str">
        <v>Categ 5</v>
      </c>
      <c r="I14" s="20" t="e">
        <f t="array" ref="I14:K43">DM_SORT($A$14:$C$39,$J$6,$J$7,$J$8,$J$9,$J$10)</f>
        <v>#N/A</v>
      </c>
      <c r="J14" s="21">
        <v>3</v>
      </c>
      <c r="K14" s="22" t="str">
        <v>Categ 2</v>
      </c>
      <c r="M14" s="20" t="str">
        <f t="array" ref="M14:O43">DM_SORT(DM_SORT(DM_SORT($A$14:$C$39,1),2),3)</f>
        <v>2</v>
      </c>
      <c r="N14" s="21">
        <v>1</v>
      </c>
      <c r="O14" s="22" t="str">
        <v>Categ 1</v>
      </c>
    </row>
    <row r="15" spans="1:15" x14ac:dyDescent="0.2">
      <c r="A15" s="23" t="e">
        <v>#N/A</v>
      </c>
      <c r="B15">
        <v>3</v>
      </c>
      <c r="C15" s="24" t="s">
        <v>139</v>
      </c>
      <c r="E15" s="23" t="str">
        <v>1</v>
      </c>
      <c r="F15">
        <v>2</v>
      </c>
      <c r="G15" s="24" t="str">
        <v>Categ 4</v>
      </c>
      <c r="I15" s="23" t="e">
        <v>#REF!</v>
      </c>
      <c r="J15">
        <v>2</v>
      </c>
      <c r="K15" s="24" t="str">
        <v>Categ 2</v>
      </c>
      <c r="M15" s="23">
        <v>4</v>
      </c>
      <c r="N15">
        <v>1</v>
      </c>
      <c r="O15" s="24" t="str">
        <v>Categ 1</v>
      </c>
    </row>
    <row r="16" spans="1:15" x14ac:dyDescent="0.2">
      <c r="A16" s="45" t="s">
        <v>140</v>
      </c>
      <c r="B16">
        <v>1</v>
      </c>
      <c r="C16" s="24" t="s">
        <v>141</v>
      </c>
      <c r="E16" s="23">
        <v>2</v>
      </c>
      <c r="F16">
        <v>1</v>
      </c>
      <c r="G16" s="24" t="str">
        <v>Categ 2</v>
      </c>
      <c r="I16" s="23" t="b">
        <v>1</v>
      </c>
      <c r="J16">
        <v>1</v>
      </c>
      <c r="K16" s="24" t="str">
        <v>Categ 5</v>
      </c>
      <c r="M16" s="23">
        <v>54</v>
      </c>
      <c r="N16">
        <v>1</v>
      </c>
      <c r="O16" s="24" t="str">
        <v>Categ 1</v>
      </c>
    </row>
    <row r="17" spans="1:15" x14ac:dyDescent="0.2">
      <c r="A17" s="23">
        <v>2</v>
      </c>
      <c r="B17">
        <v>2</v>
      </c>
      <c r="C17" s="24" t="s">
        <v>139</v>
      </c>
      <c r="E17" s="23" t="str">
        <v>2</v>
      </c>
      <c r="F17">
        <v>1</v>
      </c>
      <c r="G17" s="24" t="str">
        <v>Categ 1</v>
      </c>
      <c r="I17" s="23" t="b">
        <v>0</v>
      </c>
      <c r="J17">
        <v>3</v>
      </c>
      <c r="K17" s="24" t="str">
        <v>Categ 2</v>
      </c>
      <c r="M17" s="23" t="str">
        <v>ccc</v>
      </c>
      <c r="N17">
        <v>1</v>
      </c>
      <c r="O17" s="24" t="str">
        <v>Categ 1</v>
      </c>
    </row>
    <row r="18" spans="1:15" x14ac:dyDescent="0.2">
      <c r="A18" s="23">
        <v>1</v>
      </c>
      <c r="B18">
        <v>2</v>
      </c>
      <c r="C18" s="24" t="s">
        <v>142</v>
      </c>
      <c r="E18" s="23">
        <v>2</v>
      </c>
      <c r="F18">
        <v>2</v>
      </c>
      <c r="G18" s="24" t="str">
        <v>Categ 2</v>
      </c>
      <c r="I18" s="23" t="str">
        <v>ccc</v>
      </c>
      <c r="J18">
        <v>1</v>
      </c>
      <c r="K18" s="24" t="str">
        <v>Categ 1</v>
      </c>
      <c r="M18" s="23" t="str">
        <v>TRUE</v>
      </c>
      <c r="N18">
        <v>1</v>
      </c>
      <c r="O18" s="24" t="str">
        <v>Categ 1</v>
      </c>
    </row>
    <row r="19" spans="1:15" x14ac:dyDescent="0.2">
      <c r="A19" s="23"/>
      <c r="B19">
        <v>4</v>
      </c>
      <c r="C19" s="24" t="s">
        <v>142</v>
      </c>
      <c r="E19" s="23">
        <v>4</v>
      </c>
      <c r="F19">
        <v>1</v>
      </c>
      <c r="G19" s="24" t="str">
        <v>Categ 1</v>
      </c>
      <c r="I19" s="23" t="str">
        <v>cc</v>
      </c>
      <c r="J19">
        <v>4</v>
      </c>
      <c r="K19" s="24" t="str">
        <v>Categ 1</v>
      </c>
      <c r="M19" s="23" t="str">
        <v/>
      </c>
      <c r="N19">
        <v>1</v>
      </c>
      <c r="O19" s="24" t="str">
        <v>Categ 1</v>
      </c>
    </row>
    <row r="20" spans="1:15" x14ac:dyDescent="0.2">
      <c r="A20" s="23" t="s">
        <v>143</v>
      </c>
      <c r="B20">
        <v>2</v>
      </c>
      <c r="C20" s="24" t="s">
        <v>141</v>
      </c>
      <c r="E20" s="23" t="str">
        <v>53</v>
      </c>
      <c r="F20">
        <v>3</v>
      </c>
      <c r="G20" s="24" t="str">
        <v>Categ 1</v>
      </c>
      <c r="I20" s="23" t="str">
        <v>bbb</v>
      </c>
      <c r="J20">
        <v>3</v>
      </c>
      <c r="K20" s="24" t="str">
        <v>Categ 3</v>
      </c>
      <c r="M20" s="23" t="str">
        <v>aaa</v>
      </c>
      <c r="N20">
        <v>2</v>
      </c>
      <c r="O20" s="24" t="str">
        <v>Categ 1</v>
      </c>
    </row>
    <row r="21" spans="1:15" x14ac:dyDescent="0.2">
      <c r="A21" s="23" t="e">
        <v>#REF!</v>
      </c>
      <c r="B21">
        <v>2</v>
      </c>
      <c r="C21" s="24" t="s">
        <v>139</v>
      </c>
      <c r="E21" s="23">
        <v>53</v>
      </c>
      <c r="F21">
        <v>1</v>
      </c>
      <c r="G21" s="24" t="str">
        <v>Categ 4</v>
      </c>
      <c r="I21" s="23" t="str">
        <v>bBB</v>
      </c>
      <c r="J21">
        <v>2</v>
      </c>
      <c r="K21" s="24" t="str">
        <v>Categ 1</v>
      </c>
      <c r="M21" s="23" t="str">
        <v>bBB</v>
      </c>
      <c r="N21">
        <v>2</v>
      </c>
      <c r="O21" s="24" t="str">
        <v>Categ 1</v>
      </c>
    </row>
    <row r="22" spans="1:15" x14ac:dyDescent="0.2">
      <c r="A22" s="45" t="s">
        <v>144</v>
      </c>
      <c r="B22">
        <v>1</v>
      </c>
      <c r="C22" s="24" t="s">
        <v>142</v>
      </c>
      <c r="E22" s="23">
        <v>54</v>
      </c>
      <c r="F22">
        <v>1</v>
      </c>
      <c r="G22" s="24" t="str">
        <v>Categ 1</v>
      </c>
      <c r="I22" s="23" t="str">
        <v>aaa</v>
      </c>
      <c r="J22">
        <v>2</v>
      </c>
      <c r="K22" s="24" t="str">
        <v>Categ 1</v>
      </c>
      <c r="M22" s="23" t="str">
        <v>53</v>
      </c>
      <c r="N22">
        <v>3</v>
      </c>
      <c r="O22" s="24" t="str">
        <v>Categ 1</v>
      </c>
    </row>
    <row r="23" spans="1:15" x14ac:dyDescent="0.2">
      <c r="A23" s="23" t="s">
        <v>145</v>
      </c>
      <c r="B23">
        <v>1</v>
      </c>
      <c r="C23" s="24" t="s">
        <v>146</v>
      </c>
      <c r="E23" s="23" t="str">
        <v>aaa</v>
      </c>
      <c r="F23">
        <v>2</v>
      </c>
      <c r="G23" s="24" t="str">
        <v>Categ 1</v>
      </c>
      <c r="I23" s="23" t="str">
        <v>aaa</v>
      </c>
      <c r="J23">
        <v>3</v>
      </c>
      <c r="K23" s="24" t="str">
        <v>Categ 2</v>
      </c>
      <c r="M23" s="23" t="str">
        <v>cc</v>
      </c>
      <c r="N23">
        <v>4</v>
      </c>
      <c r="O23" s="24" t="str">
        <v>Categ 1</v>
      </c>
    </row>
    <row r="24" spans="1:15" x14ac:dyDescent="0.2">
      <c r="A24" s="23">
        <v>54</v>
      </c>
      <c r="B24">
        <v>1</v>
      </c>
      <c r="C24" s="24" t="s">
        <v>141</v>
      </c>
      <c r="E24" s="23" t="str">
        <v>AAA</v>
      </c>
      <c r="F24">
        <v>1</v>
      </c>
      <c r="G24" s="24" t="str">
        <v>Categ 5</v>
      </c>
      <c r="I24" s="23" t="str">
        <v>TRUE</v>
      </c>
      <c r="J24">
        <v>1</v>
      </c>
      <c r="K24" s="24" t="str">
        <v>Categ 1</v>
      </c>
      <c r="M24" s="23">
        <v>2</v>
      </c>
      <c r="N24">
        <v>1</v>
      </c>
      <c r="O24" s="24" t="str">
        <v>Categ 2</v>
      </c>
    </row>
    <row r="25" spans="1:15" x14ac:dyDescent="0.2">
      <c r="A25" s="45" t="s">
        <v>147</v>
      </c>
      <c r="B25">
        <v>3</v>
      </c>
      <c r="C25" s="24" t="s">
        <v>141</v>
      </c>
      <c r="E25" s="23" t="str">
        <v>aaa</v>
      </c>
      <c r="F25">
        <v>3</v>
      </c>
      <c r="G25" s="24" t="str">
        <v>Categ 2</v>
      </c>
      <c r="I25" s="23" t="str">
        <v>FALSE</v>
      </c>
      <c r="J25">
        <v>1</v>
      </c>
      <c r="K25" s="24" t="str">
        <v>Categ 5</v>
      </c>
      <c r="M25" s="23">
        <v>2</v>
      </c>
      <c r="N25">
        <v>2</v>
      </c>
      <c r="O25" s="24" t="str">
        <v>Categ 2</v>
      </c>
    </row>
    <row r="26" spans="1:15" x14ac:dyDescent="0.2">
      <c r="A26" s="23" t="s">
        <v>148</v>
      </c>
      <c r="B26">
        <v>1</v>
      </c>
      <c r="C26" s="24" t="s">
        <v>142</v>
      </c>
      <c r="E26" s="23" t="str">
        <v>BB</v>
      </c>
      <c r="F26">
        <v>1</v>
      </c>
      <c r="G26" s="24" t="str">
        <v>Categ 3</v>
      </c>
      <c r="I26" s="23" t="str">
        <v>BBB</v>
      </c>
      <c r="J26">
        <v>1</v>
      </c>
      <c r="K26" s="24" t="str">
        <v>Categ 3</v>
      </c>
      <c r="M26" s="23" t="e">
        <v>#REF!</v>
      </c>
      <c r="N26">
        <v>2</v>
      </c>
      <c r="O26" s="24" t="str">
        <v>Categ 2</v>
      </c>
    </row>
    <row r="27" spans="1:15" x14ac:dyDescent="0.2">
      <c r="A27" s="23">
        <v>53</v>
      </c>
      <c r="B27">
        <v>1</v>
      </c>
      <c r="C27" s="24" t="s">
        <v>149</v>
      </c>
      <c r="E27" s="23" t="str">
        <v>bbb</v>
      </c>
      <c r="F27">
        <v>3</v>
      </c>
      <c r="G27" s="24" t="str">
        <v>Categ 3</v>
      </c>
      <c r="I27" s="23" t="str">
        <v>BB</v>
      </c>
      <c r="J27">
        <v>1</v>
      </c>
      <c r="K27" s="24" t="str">
        <v>Categ 3</v>
      </c>
      <c r="M27" s="23" t="str">
        <v>aaa</v>
      </c>
      <c r="N27">
        <v>3</v>
      </c>
      <c r="O27" s="24" t="str">
        <v>Categ 2</v>
      </c>
    </row>
    <row r="28" spans="1:15" x14ac:dyDescent="0.2">
      <c r="A28" s="23" t="s">
        <v>150</v>
      </c>
      <c r="B28">
        <v>3</v>
      </c>
      <c r="C28" s="24" t="s">
        <v>146</v>
      </c>
      <c r="E28" s="23" t="str">
        <v>BBB</v>
      </c>
      <c r="F28">
        <v>1</v>
      </c>
      <c r="G28" s="24" t="str">
        <v>Categ 3</v>
      </c>
      <c r="I28" s="23" t="str">
        <v>AAA</v>
      </c>
      <c r="J28">
        <v>1</v>
      </c>
      <c r="K28" s="24" t="str">
        <v>Categ 5</v>
      </c>
      <c r="M28" s="23" t="b">
        <v>0</v>
      </c>
      <c r="N28">
        <v>3</v>
      </c>
      <c r="O28" s="24" t="str">
        <v>Categ 2</v>
      </c>
    </row>
    <row r="29" spans="1:15" x14ac:dyDescent="0.2">
      <c r="A29" s="23" t="s">
        <v>143</v>
      </c>
      <c r="B29">
        <v>3</v>
      </c>
      <c r="C29" s="24" t="s">
        <v>139</v>
      </c>
      <c r="E29" s="23" t="str">
        <v>bBB</v>
      </c>
      <c r="F29">
        <v>2</v>
      </c>
      <c r="G29" s="24" t="str">
        <v>Categ 1</v>
      </c>
      <c r="I29" s="23" t="str">
        <v>53</v>
      </c>
      <c r="J29">
        <v>3</v>
      </c>
      <c r="K29" s="24" t="str">
        <v>Categ 1</v>
      </c>
      <c r="M29" s="23" t="e">
        <v>#N/A</v>
      </c>
      <c r="N29">
        <v>3</v>
      </c>
      <c r="O29" s="24" t="str">
        <v>Categ 2</v>
      </c>
    </row>
    <row r="30" spans="1:15" x14ac:dyDescent="0.2">
      <c r="A30" s="23" t="b">
        <v>1</v>
      </c>
      <c r="B30">
        <v>1</v>
      </c>
      <c r="C30" s="24" t="s">
        <v>142</v>
      </c>
      <c r="E30" s="23" t="str">
        <v>cc</v>
      </c>
      <c r="F30">
        <v>4</v>
      </c>
      <c r="G30" s="24" t="str">
        <v>Categ 1</v>
      </c>
      <c r="I30" s="23" t="str">
        <v>2</v>
      </c>
      <c r="J30">
        <v>1</v>
      </c>
      <c r="K30" s="24" t="str">
        <v>Categ 1</v>
      </c>
      <c r="M30" s="23" t="str">
        <v>BB</v>
      </c>
      <c r="N30">
        <v>1</v>
      </c>
      <c r="O30" s="24" t="str">
        <v>Categ 3</v>
      </c>
    </row>
    <row r="31" spans="1:15" x14ac:dyDescent="0.2">
      <c r="A31" s="23" t="b">
        <v>0</v>
      </c>
      <c r="B31">
        <v>3</v>
      </c>
      <c r="C31" s="24" t="s">
        <v>139</v>
      </c>
      <c r="E31" s="23" t="str">
        <v>ccc</v>
      </c>
      <c r="F31">
        <v>1</v>
      </c>
      <c r="G31" s="24" t="str">
        <v>Categ 1</v>
      </c>
      <c r="I31" s="23" t="str">
        <v>1</v>
      </c>
      <c r="J31">
        <v>2</v>
      </c>
      <c r="K31" s="24" t="str">
        <v>Categ 4</v>
      </c>
      <c r="M31" s="23" t="str">
        <v>BBB</v>
      </c>
      <c r="N31">
        <v>1</v>
      </c>
      <c r="O31" s="24" t="str">
        <v>Categ 3</v>
      </c>
    </row>
    <row r="32" spans="1:15" x14ac:dyDescent="0.2">
      <c r="A32" s="23" t="s">
        <v>151</v>
      </c>
      <c r="B32">
        <v>1</v>
      </c>
      <c r="C32" s="24" t="s">
        <v>146</v>
      </c>
      <c r="E32" s="23" t="str">
        <v>FALSE</v>
      </c>
      <c r="F32">
        <v>1</v>
      </c>
      <c r="G32" s="24" t="str">
        <v>Categ 5</v>
      </c>
      <c r="I32" s="23">
        <v>54</v>
      </c>
      <c r="J32">
        <v>1</v>
      </c>
      <c r="K32" s="24" t="str">
        <v>Categ 1</v>
      </c>
      <c r="M32" s="23" t="str">
        <v>bbb</v>
      </c>
      <c r="N32">
        <v>3</v>
      </c>
      <c r="O32" s="24" t="str">
        <v>Categ 3</v>
      </c>
    </row>
    <row r="33" spans="1:15" x14ac:dyDescent="0.2">
      <c r="A33" s="23" t="s">
        <v>152</v>
      </c>
      <c r="B33">
        <v>2</v>
      </c>
      <c r="C33" s="24" t="s">
        <v>141</v>
      </c>
      <c r="E33" s="23" t="str">
        <v>TRUE</v>
      </c>
      <c r="F33">
        <v>1</v>
      </c>
      <c r="G33" s="24" t="str">
        <v>Categ 1</v>
      </c>
      <c r="I33" s="23">
        <v>53</v>
      </c>
      <c r="J33">
        <v>1</v>
      </c>
      <c r="K33" s="24" t="str">
        <v>Categ 4</v>
      </c>
      <c r="M33" s="23">
        <v>53</v>
      </c>
      <c r="N33">
        <v>1</v>
      </c>
      <c r="O33" s="24" t="str">
        <v>Categ 4</v>
      </c>
    </row>
    <row r="34" spans="1:15" x14ac:dyDescent="0.2">
      <c r="A34" s="45" t="s">
        <v>153</v>
      </c>
      <c r="B34">
        <v>2</v>
      </c>
      <c r="C34" s="24" t="s">
        <v>149</v>
      </c>
      <c r="E34" s="23" t="b">
        <v>0</v>
      </c>
      <c r="F34">
        <v>3</v>
      </c>
      <c r="G34" s="24" t="str">
        <v>Categ 2</v>
      </c>
      <c r="I34" s="23">
        <v>4</v>
      </c>
      <c r="J34">
        <v>1</v>
      </c>
      <c r="K34" s="24" t="str">
        <v>Categ 1</v>
      </c>
      <c r="M34" s="23" t="str">
        <v>1</v>
      </c>
      <c r="N34">
        <v>2</v>
      </c>
      <c r="O34" s="24" t="str">
        <v>Categ 4</v>
      </c>
    </row>
    <row r="35" spans="1:15" x14ac:dyDescent="0.2">
      <c r="A35" s="23"/>
      <c r="B35">
        <v>1</v>
      </c>
      <c r="C35" s="24" t="s">
        <v>141</v>
      </c>
      <c r="E35" s="23" t="b">
        <v>1</v>
      </c>
      <c r="F35">
        <v>1</v>
      </c>
      <c r="G35" s="24" t="str">
        <v>Categ 5</v>
      </c>
      <c r="I35" s="23">
        <v>2</v>
      </c>
      <c r="J35">
        <v>1</v>
      </c>
      <c r="K35" s="24" t="str">
        <v>Categ 2</v>
      </c>
      <c r="M35" s="23" t="str">
        <v>AAA</v>
      </c>
      <c r="N35">
        <v>1</v>
      </c>
      <c r="O35" s="24" t="str">
        <v>Categ 5</v>
      </c>
    </row>
    <row r="36" spans="1:15" x14ac:dyDescent="0.2">
      <c r="A36" s="45" t="s">
        <v>154</v>
      </c>
      <c r="B36">
        <v>1</v>
      </c>
      <c r="C36" s="24" t="s">
        <v>141</v>
      </c>
      <c r="E36" s="23" t="e">
        <v>#N/A</v>
      </c>
      <c r="F36">
        <v>3</v>
      </c>
      <c r="G36" s="24" t="str">
        <v>Categ 2</v>
      </c>
      <c r="I36" s="23">
        <v>2</v>
      </c>
      <c r="J36">
        <v>2</v>
      </c>
      <c r="K36" s="24" t="str">
        <v>Categ 2</v>
      </c>
      <c r="M36" s="23" t="str">
        <v>FALSE</v>
      </c>
      <c r="N36">
        <v>1</v>
      </c>
      <c r="O36" s="24" t="str">
        <v>Categ 5</v>
      </c>
    </row>
    <row r="37" spans="1:15" x14ac:dyDescent="0.2">
      <c r="A37" s="23" t="s">
        <v>155</v>
      </c>
      <c r="B37">
        <v>4</v>
      </c>
      <c r="C37" s="24" t="s">
        <v>141</v>
      </c>
      <c r="E37" s="23" t="e">
        <v>#REF!</v>
      </c>
      <c r="F37">
        <v>2</v>
      </c>
      <c r="G37" s="24" t="str">
        <v>Categ 2</v>
      </c>
      <c r="I37" s="23">
        <v>1</v>
      </c>
      <c r="J37">
        <v>2</v>
      </c>
      <c r="K37" s="24" t="str">
        <v>Categ 5</v>
      </c>
      <c r="M37" s="23" t="b">
        <v>1</v>
      </c>
      <c r="N37">
        <v>1</v>
      </c>
      <c r="O37" s="24" t="str">
        <v>Categ 5</v>
      </c>
    </row>
    <row r="38" spans="1:15" x14ac:dyDescent="0.2">
      <c r="A38" s="23">
        <v>4</v>
      </c>
      <c r="B38">
        <v>1</v>
      </c>
      <c r="C38" s="24" t="s">
        <v>141</v>
      </c>
      <c r="E38" s="23" t="str">
        <v/>
      </c>
      <c r="F38">
        <v>4</v>
      </c>
      <c r="G38" s="24" t="str">
        <v>Categ 5</v>
      </c>
      <c r="I38" s="23" t="str">
        <v/>
      </c>
      <c r="J38">
        <v>4</v>
      </c>
      <c r="K38" s="24" t="str">
        <v>Categ 5</v>
      </c>
      <c r="M38" s="23">
        <v>1</v>
      </c>
      <c r="N38">
        <v>2</v>
      </c>
      <c r="O38" s="24" t="str">
        <v>Categ 5</v>
      </c>
    </row>
    <row r="39" spans="1:15" x14ac:dyDescent="0.2">
      <c r="A39" s="25" t="s">
        <v>156</v>
      </c>
      <c r="B39" s="26">
        <v>1</v>
      </c>
      <c r="C39" s="27" t="s">
        <v>141</v>
      </c>
      <c r="E39" s="23" t="str">
        <v/>
      </c>
      <c r="F39">
        <v>1</v>
      </c>
      <c r="G39" s="24" t="str">
        <v>Categ 1</v>
      </c>
      <c r="I39" s="23" t="str">
        <v/>
      </c>
      <c r="J39">
        <v>1</v>
      </c>
      <c r="K39" s="24" t="str">
        <v>Categ 1</v>
      </c>
      <c r="M39" s="23" t="str">
        <v/>
      </c>
      <c r="N39">
        <v>4</v>
      </c>
      <c r="O39" s="24" t="str">
        <v>Categ 5</v>
      </c>
    </row>
    <row r="40" spans="1:15" x14ac:dyDescent="0.2">
      <c r="E40" s="23" t="e">
        <v>#N/A</v>
      </c>
      <c r="F40" t="e">
        <v>#N/A</v>
      </c>
      <c r="G40" s="24" t="e">
        <v>#N/A</v>
      </c>
      <c r="I40" s="23" t="e">
        <v>#N/A</v>
      </c>
      <c r="J40" t="e">
        <v>#N/A</v>
      </c>
      <c r="K40" s="24" t="e">
        <v>#N/A</v>
      </c>
      <c r="M40" s="23" t="e">
        <v>#N/A</v>
      </c>
      <c r="N40" t="e">
        <v>#N/A</v>
      </c>
      <c r="O40" s="24" t="e">
        <v>#N/A</v>
      </c>
    </row>
    <row r="41" spans="1:15" x14ac:dyDescent="0.2">
      <c r="E41" s="23" t="e">
        <v>#N/A</v>
      </c>
      <c r="F41" t="e">
        <v>#N/A</v>
      </c>
      <c r="G41" s="24" t="e">
        <v>#N/A</v>
      </c>
      <c r="I41" s="23" t="e">
        <v>#N/A</v>
      </c>
      <c r="J41" t="e">
        <v>#N/A</v>
      </c>
      <c r="K41" s="24" t="e">
        <v>#N/A</v>
      </c>
      <c r="M41" s="23" t="e">
        <v>#N/A</v>
      </c>
      <c r="N41" t="e">
        <v>#N/A</v>
      </c>
      <c r="O41" s="24" t="e">
        <v>#N/A</v>
      </c>
    </row>
    <row r="42" spans="1:15" x14ac:dyDescent="0.2">
      <c r="E42" s="23" t="e">
        <v>#N/A</v>
      </c>
      <c r="F42" t="e">
        <v>#N/A</v>
      </c>
      <c r="G42" s="24" t="e">
        <v>#N/A</v>
      </c>
      <c r="I42" s="23" t="e">
        <v>#N/A</v>
      </c>
      <c r="J42" t="e">
        <v>#N/A</v>
      </c>
      <c r="K42" s="24" t="e">
        <v>#N/A</v>
      </c>
      <c r="M42" s="23" t="e">
        <v>#N/A</v>
      </c>
      <c r="N42" t="e">
        <v>#N/A</v>
      </c>
      <c r="O42" s="24" t="e">
        <v>#N/A</v>
      </c>
    </row>
    <row r="43" spans="1:15" x14ac:dyDescent="0.2">
      <c r="E43" s="25" t="e">
        <v>#N/A</v>
      </c>
      <c r="F43" s="26" t="e">
        <v>#N/A</v>
      </c>
      <c r="G43" s="27" t="e">
        <v>#N/A</v>
      </c>
      <c r="I43" s="25" t="e">
        <v>#N/A</v>
      </c>
      <c r="J43" s="26" t="e">
        <v>#N/A</v>
      </c>
      <c r="K43" s="27" t="e">
        <v>#N/A</v>
      </c>
      <c r="M43" s="25" t="e">
        <v>#N/A</v>
      </c>
      <c r="N43" s="26" t="e">
        <v>#N/A</v>
      </c>
      <c r="O43" s="27" t="e">
        <v>#N/A</v>
      </c>
    </row>
  </sheetData>
  <dataValidations count="1">
    <dataValidation type="list" allowBlank="1" showInputMessage="1" showErrorMessage="1" sqref="J7:J10" xr:uid="{CDB46112-3126-4165-AD89-929DB27726EF}">
      <formula1>"TRUE,FALSE"</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14E529-5799-46AD-A209-579A9CA46C27}">
  <sheetPr codeName="Sheet6"/>
  <dimension ref="A1:AE39"/>
  <sheetViews>
    <sheetView workbookViewId="0">
      <pane ySplit="6" topLeftCell="A7" activePane="bottomLeft" state="frozen"/>
      <selection activeCell="A12" sqref="A12"/>
      <selection pane="bottomLeft"/>
    </sheetView>
  </sheetViews>
  <sheetFormatPr defaultRowHeight="12.75" x14ac:dyDescent="0.2"/>
  <cols>
    <col min="4" max="4" width="2.7109375" customWidth="1"/>
    <col min="8" max="8" width="2.7109375" customWidth="1"/>
    <col min="12" max="12" width="2.7109375" customWidth="1"/>
    <col min="16" max="16" width="2.7109375" customWidth="1"/>
    <col min="20" max="20" width="2.7109375" customWidth="1"/>
    <col min="24" max="24" width="2.7109375" customWidth="1"/>
    <col min="28" max="28" width="2.7109375" customWidth="1"/>
  </cols>
  <sheetData>
    <row r="1" spans="1:31" x14ac:dyDescent="0.2">
      <c r="A1" s="5" t="s">
        <v>157</v>
      </c>
    </row>
    <row r="3" spans="1:31" x14ac:dyDescent="0.2">
      <c r="A3" t="s">
        <v>158</v>
      </c>
    </row>
    <row r="5" spans="1:31" x14ac:dyDescent="0.2">
      <c r="E5" s="13" t="s">
        <v>159</v>
      </c>
      <c r="I5" s="13" t="s">
        <v>160</v>
      </c>
      <c r="M5" s="13" t="s">
        <v>161</v>
      </c>
      <c r="Q5" s="13" t="s">
        <v>162</v>
      </c>
      <c r="U5" s="13" t="s">
        <v>163</v>
      </c>
      <c r="Y5" s="13" t="s">
        <v>164</v>
      </c>
      <c r="AC5" s="13" t="s">
        <v>165</v>
      </c>
    </row>
    <row r="6" spans="1:31" x14ac:dyDescent="0.2">
      <c r="A6" s="14" t="s">
        <v>27</v>
      </c>
      <c r="B6" s="15"/>
      <c r="C6" s="16"/>
      <c r="E6" s="17" t="s">
        <v>28</v>
      </c>
      <c r="F6" s="18"/>
      <c r="G6" s="19"/>
      <c r="I6" s="17" t="s">
        <v>29</v>
      </c>
      <c r="J6" s="18"/>
      <c r="K6" s="19"/>
      <c r="M6" s="17" t="s">
        <v>30</v>
      </c>
      <c r="N6" s="18"/>
      <c r="O6" s="19"/>
      <c r="Q6" s="17" t="s">
        <v>31</v>
      </c>
      <c r="R6" s="18"/>
      <c r="S6" s="19"/>
      <c r="U6" s="17" t="s">
        <v>118</v>
      </c>
      <c r="V6" s="18"/>
      <c r="W6" s="19"/>
      <c r="Y6" s="17" t="s">
        <v>166</v>
      </c>
      <c r="Z6" s="18"/>
      <c r="AA6" s="19"/>
      <c r="AC6" s="17" t="s">
        <v>167</v>
      </c>
      <c r="AD6" s="18"/>
      <c r="AE6" s="19"/>
    </row>
    <row r="7" spans="1:31" x14ac:dyDescent="0.2">
      <c r="A7" s="23">
        <v>1</v>
      </c>
      <c r="B7" t="s">
        <v>32</v>
      </c>
      <c r="C7" s="24">
        <v>1</v>
      </c>
      <c r="E7" s="20">
        <f t="array" ref="E7:G19">DM_UNIQUE($A$7:$C$18,0)</f>
        <v>1</v>
      </c>
      <c r="F7" s="21" t="str">
        <v>A</v>
      </c>
      <c r="G7" s="22">
        <v>1</v>
      </c>
      <c r="I7" s="20">
        <f t="array" ref="I7:K19">DM_UNIQUE($A$7:$C$18,{1,2})</f>
        <v>1</v>
      </c>
      <c r="J7" s="21" t="str">
        <v>A</v>
      </c>
      <c r="K7" s="22">
        <v>1</v>
      </c>
      <c r="M7" s="20">
        <f t="array" ref="M7:O19">DM_UNIQUE($A$7:$C$18,{1,3})</f>
        <v>1</v>
      </c>
      <c r="N7" s="21" t="str">
        <v>A</v>
      </c>
      <c r="O7" s="22">
        <v>1</v>
      </c>
      <c r="Q7" s="20">
        <f t="array" ref="Q7:S19">DM_UNIQUE($A$7:$C$18,{2,3})</f>
        <v>1</v>
      </c>
      <c r="R7" s="21" t="str">
        <v>A</v>
      </c>
      <c r="S7" s="22">
        <v>1</v>
      </c>
      <c r="U7" s="20">
        <f t="array" ref="U7:W19">DM_UNIQUE($A$7:$C$18,1)</f>
        <v>1</v>
      </c>
      <c r="V7" s="21" t="str">
        <v>A</v>
      </c>
      <c r="W7" s="22">
        <v>1</v>
      </c>
      <c r="Y7" s="20">
        <f t="array" ref="Y7:AA19">DM_UNIQUE($A$7:$C$18,2)</f>
        <v>1</v>
      </c>
      <c r="Z7" s="21" t="str">
        <v>A</v>
      </c>
      <c r="AA7" s="22">
        <v>1</v>
      </c>
      <c r="AC7" s="20">
        <f t="array" ref="AC7:AE19">DM_UNIQUE($A$7:$C$18,3)</f>
        <v>1</v>
      </c>
      <c r="AD7" s="21" t="str">
        <v>A</v>
      </c>
      <c r="AE7" s="22">
        <v>1</v>
      </c>
    </row>
    <row r="8" spans="1:31" x14ac:dyDescent="0.2">
      <c r="A8" s="23">
        <v>2</v>
      </c>
      <c r="B8" t="s">
        <v>32</v>
      </c>
      <c r="C8" s="24">
        <v>1</v>
      </c>
      <c r="E8" s="23">
        <v>2</v>
      </c>
      <c r="F8" t="str">
        <v>A</v>
      </c>
      <c r="G8" s="24">
        <v>1</v>
      </c>
      <c r="I8" s="23">
        <v>2</v>
      </c>
      <c r="J8" t="str">
        <v>A</v>
      </c>
      <c r="K8" s="24">
        <v>1</v>
      </c>
      <c r="M8" s="23">
        <v>2</v>
      </c>
      <c r="N8" t="str">
        <v>A</v>
      </c>
      <c r="O8" s="24">
        <v>1</v>
      </c>
      <c r="Q8" s="23">
        <v>2</v>
      </c>
      <c r="R8" t="str">
        <v>A</v>
      </c>
      <c r="S8" s="24">
        <v>2</v>
      </c>
      <c r="U8" s="23">
        <v>2</v>
      </c>
      <c r="V8" t="str">
        <v>A</v>
      </c>
      <c r="W8" s="24">
        <v>1</v>
      </c>
      <c r="Y8" s="23">
        <v>2</v>
      </c>
      <c r="Z8" t="str">
        <v>B</v>
      </c>
      <c r="AA8" s="24">
        <v>1</v>
      </c>
      <c r="AC8" s="23">
        <v>2</v>
      </c>
      <c r="AD8" t="str">
        <v>A</v>
      </c>
      <c r="AE8" s="24">
        <v>2</v>
      </c>
    </row>
    <row r="9" spans="1:31" x14ac:dyDescent="0.2">
      <c r="A9" s="23">
        <v>2</v>
      </c>
      <c r="B9" t="s">
        <v>32</v>
      </c>
      <c r="C9" s="24">
        <v>1</v>
      </c>
      <c r="E9" s="23">
        <v>2</v>
      </c>
      <c r="F9" t="str">
        <v>A</v>
      </c>
      <c r="G9" s="24">
        <v>2</v>
      </c>
      <c r="I9" s="23">
        <v>2</v>
      </c>
      <c r="J9" t="str">
        <v>B</v>
      </c>
      <c r="K9" s="24">
        <v>1</v>
      </c>
      <c r="M9" s="23">
        <v>2</v>
      </c>
      <c r="N9" t="str">
        <v>A</v>
      </c>
      <c r="O9" s="24">
        <v>2</v>
      </c>
      <c r="Q9" s="23">
        <v>2</v>
      </c>
      <c r="R9" t="str">
        <v>B</v>
      </c>
      <c r="S9" s="24">
        <v>1</v>
      </c>
      <c r="U9" s="23">
        <v>3</v>
      </c>
      <c r="V9" t="str">
        <v>A</v>
      </c>
      <c r="W9" s="24">
        <v>1</v>
      </c>
      <c r="Y9" s="23">
        <v>2</v>
      </c>
      <c r="Z9" t="str">
        <v>C</v>
      </c>
      <c r="AA9" s="24">
        <v>1</v>
      </c>
      <c r="AC9" s="23">
        <v>2</v>
      </c>
      <c r="AD9" t="str">
        <v>B</v>
      </c>
      <c r="AE9" s="24">
        <v>3</v>
      </c>
    </row>
    <row r="10" spans="1:31" x14ac:dyDescent="0.2">
      <c r="A10" s="23">
        <v>2</v>
      </c>
      <c r="B10" t="s">
        <v>32</v>
      </c>
      <c r="C10" s="24">
        <v>2</v>
      </c>
      <c r="E10" s="23">
        <v>2</v>
      </c>
      <c r="F10" t="str">
        <v>B</v>
      </c>
      <c r="G10" s="24">
        <v>1</v>
      </c>
      <c r="I10" s="23">
        <v>2</v>
      </c>
      <c r="J10" t="str">
        <v>C</v>
      </c>
      <c r="K10" s="24">
        <v>1</v>
      </c>
      <c r="M10" s="23">
        <v>2</v>
      </c>
      <c r="N10" t="str">
        <v>B</v>
      </c>
      <c r="O10" s="24">
        <v>3</v>
      </c>
      <c r="Q10" s="23">
        <v>2</v>
      </c>
      <c r="R10" t="str">
        <v>B</v>
      </c>
      <c r="S10" s="24">
        <v>2</v>
      </c>
      <c r="U10" s="23">
        <v>4</v>
      </c>
      <c r="V10" t="str">
        <v>A</v>
      </c>
      <c r="W10" s="24">
        <v>1</v>
      </c>
      <c r="Y10" s="23" t="e">
        <v>#N/A</v>
      </c>
      <c r="Z10" t="e">
        <v>#N/A</v>
      </c>
      <c r="AA10" s="24" t="e">
        <v>#N/A</v>
      </c>
      <c r="AC10" s="23" t="e">
        <v>#N/A</v>
      </c>
      <c r="AD10" t="e">
        <v>#N/A</v>
      </c>
      <c r="AE10" s="24" t="e">
        <v>#N/A</v>
      </c>
    </row>
    <row r="11" spans="1:31" x14ac:dyDescent="0.2">
      <c r="A11" s="23">
        <v>2</v>
      </c>
      <c r="B11" t="s">
        <v>34</v>
      </c>
      <c r="C11" s="24">
        <v>1</v>
      </c>
      <c r="E11" s="23">
        <v>2</v>
      </c>
      <c r="F11" t="str">
        <v>B</v>
      </c>
      <c r="G11" s="24">
        <v>2</v>
      </c>
      <c r="I11" s="23">
        <v>3</v>
      </c>
      <c r="J11" t="str">
        <v>A</v>
      </c>
      <c r="K11" s="24">
        <v>1</v>
      </c>
      <c r="M11" s="23">
        <v>3</v>
      </c>
      <c r="N11" t="str">
        <v>A</v>
      </c>
      <c r="O11" s="24">
        <v>1</v>
      </c>
      <c r="Q11" s="23">
        <v>2</v>
      </c>
      <c r="R11" t="str">
        <v>B</v>
      </c>
      <c r="S11" s="24">
        <v>3</v>
      </c>
      <c r="U11" s="23">
        <v>5</v>
      </c>
      <c r="V11" t="str">
        <v>A</v>
      </c>
      <c r="W11" s="24">
        <v>1</v>
      </c>
      <c r="Y11" s="23" t="e">
        <v>#N/A</v>
      </c>
      <c r="Z11" t="e">
        <v>#N/A</v>
      </c>
      <c r="AA11" s="24" t="e">
        <v>#N/A</v>
      </c>
      <c r="AC11" s="23" t="e">
        <v>#N/A</v>
      </c>
      <c r="AD11" t="e">
        <v>#N/A</v>
      </c>
      <c r="AE11" s="24" t="e">
        <v>#N/A</v>
      </c>
    </row>
    <row r="12" spans="1:31" x14ac:dyDescent="0.2">
      <c r="A12" s="23">
        <v>2</v>
      </c>
      <c r="B12" t="s">
        <v>34</v>
      </c>
      <c r="C12" s="24">
        <v>2</v>
      </c>
      <c r="E12" s="23">
        <v>2</v>
      </c>
      <c r="F12" t="str">
        <v>B</v>
      </c>
      <c r="G12" s="24">
        <v>3</v>
      </c>
      <c r="I12" s="23">
        <v>4</v>
      </c>
      <c r="J12" t="str">
        <v>A</v>
      </c>
      <c r="K12" s="24">
        <v>1</v>
      </c>
      <c r="M12" s="23">
        <v>3</v>
      </c>
      <c r="N12" t="str">
        <v>A</v>
      </c>
      <c r="O12" s="24">
        <v>2</v>
      </c>
      <c r="Q12" s="23">
        <v>2</v>
      </c>
      <c r="R12" t="str">
        <v>C</v>
      </c>
      <c r="S12" s="24">
        <v>1</v>
      </c>
      <c r="U12" s="23" t="e">
        <v>#N/A</v>
      </c>
      <c r="V12" t="e">
        <v>#N/A</v>
      </c>
      <c r="W12" s="24" t="e">
        <v>#N/A</v>
      </c>
      <c r="Y12" s="23" t="e">
        <v>#N/A</v>
      </c>
      <c r="Z12" t="e">
        <v>#N/A</v>
      </c>
      <c r="AA12" s="24" t="e">
        <v>#N/A</v>
      </c>
      <c r="AC12" s="23" t="e">
        <v>#N/A</v>
      </c>
      <c r="AD12" t="e">
        <v>#N/A</v>
      </c>
      <c r="AE12" s="24" t="e">
        <v>#N/A</v>
      </c>
    </row>
    <row r="13" spans="1:31" x14ac:dyDescent="0.2">
      <c r="A13" s="23">
        <v>2</v>
      </c>
      <c r="B13" t="s">
        <v>34</v>
      </c>
      <c r="C13" s="24">
        <v>3</v>
      </c>
      <c r="E13" s="23">
        <v>2</v>
      </c>
      <c r="F13" t="str">
        <v>C</v>
      </c>
      <c r="G13" s="24">
        <v>1</v>
      </c>
      <c r="I13" s="23">
        <v>5</v>
      </c>
      <c r="J13" t="str">
        <v>A</v>
      </c>
      <c r="K13" s="24">
        <v>1</v>
      </c>
      <c r="M13" s="23">
        <v>4</v>
      </c>
      <c r="N13" t="str">
        <v>A</v>
      </c>
      <c r="O13" s="24">
        <v>1</v>
      </c>
      <c r="Q13" s="23" t="e">
        <v>#N/A</v>
      </c>
      <c r="R13" t="e">
        <v>#N/A</v>
      </c>
      <c r="S13" s="24" t="e">
        <v>#N/A</v>
      </c>
      <c r="U13" s="23" t="e">
        <v>#N/A</v>
      </c>
      <c r="V13" t="e">
        <v>#N/A</v>
      </c>
      <c r="W13" s="24" t="e">
        <v>#N/A</v>
      </c>
      <c r="Y13" s="23" t="e">
        <v>#N/A</v>
      </c>
      <c r="Z13" t="e">
        <v>#N/A</v>
      </c>
      <c r="AA13" s="24" t="e">
        <v>#N/A</v>
      </c>
      <c r="AC13" s="23" t="e">
        <v>#N/A</v>
      </c>
      <c r="AD13" t="e">
        <v>#N/A</v>
      </c>
      <c r="AE13" s="24" t="e">
        <v>#N/A</v>
      </c>
    </row>
    <row r="14" spans="1:31" x14ac:dyDescent="0.2">
      <c r="A14" s="23">
        <v>2</v>
      </c>
      <c r="B14" t="s">
        <v>36</v>
      </c>
      <c r="C14" s="24">
        <v>1</v>
      </c>
      <c r="E14" s="23">
        <v>3</v>
      </c>
      <c r="F14" t="str">
        <v>A</v>
      </c>
      <c r="G14" s="24">
        <v>1</v>
      </c>
      <c r="I14" s="23" t="e">
        <v>#N/A</v>
      </c>
      <c r="J14" t="e">
        <v>#N/A</v>
      </c>
      <c r="K14" s="24" t="e">
        <v>#N/A</v>
      </c>
      <c r="M14" s="23">
        <v>5</v>
      </c>
      <c r="N14" t="str">
        <v>A</v>
      </c>
      <c r="O14" s="24">
        <v>1</v>
      </c>
      <c r="Q14" s="23" t="e">
        <v>#N/A</v>
      </c>
      <c r="R14" t="e">
        <v>#N/A</v>
      </c>
      <c r="S14" s="24" t="e">
        <v>#N/A</v>
      </c>
      <c r="U14" s="23" t="e">
        <v>#N/A</v>
      </c>
      <c r="V14" t="e">
        <v>#N/A</v>
      </c>
      <c r="W14" s="24" t="e">
        <v>#N/A</v>
      </c>
      <c r="Y14" s="23" t="e">
        <v>#N/A</v>
      </c>
      <c r="Z14" t="e">
        <v>#N/A</v>
      </c>
      <c r="AA14" s="24" t="e">
        <v>#N/A</v>
      </c>
      <c r="AC14" s="23" t="e">
        <v>#N/A</v>
      </c>
      <c r="AD14" t="e">
        <v>#N/A</v>
      </c>
      <c r="AE14" s="24" t="e">
        <v>#N/A</v>
      </c>
    </row>
    <row r="15" spans="1:31" x14ac:dyDescent="0.2">
      <c r="A15" s="23">
        <v>3</v>
      </c>
      <c r="B15" t="s">
        <v>32</v>
      </c>
      <c r="C15" s="24">
        <v>1</v>
      </c>
      <c r="E15" s="23">
        <v>3</v>
      </c>
      <c r="F15" t="str">
        <v>A</v>
      </c>
      <c r="G15" s="24">
        <v>2</v>
      </c>
      <c r="I15" s="23" t="e">
        <v>#N/A</v>
      </c>
      <c r="J15" t="e">
        <v>#N/A</v>
      </c>
      <c r="K15" s="24" t="e">
        <v>#N/A</v>
      </c>
      <c r="M15" s="23" t="e">
        <v>#N/A</v>
      </c>
      <c r="N15" t="e">
        <v>#N/A</v>
      </c>
      <c r="O15" s="24" t="e">
        <v>#N/A</v>
      </c>
      <c r="Q15" s="23" t="e">
        <v>#N/A</v>
      </c>
      <c r="R15" t="e">
        <v>#N/A</v>
      </c>
      <c r="S15" s="24" t="e">
        <v>#N/A</v>
      </c>
      <c r="U15" s="23" t="e">
        <v>#N/A</v>
      </c>
      <c r="V15" t="e">
        <v>#N/A</v>
      </c>
      <c r="W15" s="24" t="e">
        <v>#N/A</v>
      </c>
      <c r="Y15" s="23" t="e">
        <v>#N/A</v>
      </c>
      <c r="Z15" t="e">
        <v>#N/A</v>
      </c>
      <c r="AA15" s="24" t="e">
        <v>#N/A</v>
      </c>
      <c r="AC15" s="23" t="e">
        <v>#N/A</v>
      </c>
      <c r="AD15" t="e">
        <v>#N/A</v>
      </c>
      <c r="AE15" s="24" t="e">
        <v>#N/A</v>
      </c>
    </row>
    <row r="16" spans="1:31" x14ac:dyDescent="0.2">
      <c r="A16" s="23">
        <v>3</v>
      </c>
      <c r="B16" t="s">
        <v>32</v>
      </c>
      <c r="C16" s="24">
        <v>2</v>
      </c>
      <c r="E16" s="23">
        <v>4</v>
      </c>
      <c r="F16" t="str">
        <v>A</v>
      </c>
      <c r="G16" s="24">
        <v>1</v>
      </c>
      <c r="I16" s="23" t="e">
        <v>#N/A</v>
      </c>
      <c r="J16" t="e">
        <v>#N/A</v>
      </c>
      <c r="K16" s="24" t="e">
        <v>#N/A</v>
      </c>
      <c r="M16" s="23" t="e">
        <v>#N/A</v>
      </c>
      <c r="N16" t="e">
        <v>#N/A</v>
      </c>
      <c r="O16" s="24" t="e">
        <v>#N/A</v>
      </c>
      <c r="Q16" s="23" t="e">
        <v>#N/A</v>
      </c>
      <c r="R16" t="e">
        <v>#N/A</v>
      </c>
      <c r="S16" s="24" t="e">
        <v>#N/A</v>
      </c>
      <c r="U16" s="23" t="e">
        <v>#N/A</v>
      </c>
      <c r="V16" t="e">
        <v>#N/A</v>
      </c>
      <c r="W16" s="24" t="e">
        <v>#N/A</v>
      </c>
      <c r="Y16" s="23" t="e">
        <v>#N/A</v>
      </c>
      <c r="Z16" t="e">
        <v>#N/A</v>
      </c>
      <c r="AA16" s="24" t="e">
        <v>#N/A</v>
      </c>
      <c r="AC16" s="23" t="e">
        <v>#N/A</v>
      </c>
      <c r="AD16" t="e">
        <v>#N/A</v>
      </c>
      <c r="AE16" s="24" t="e">
        <v>#N/A</v>
      </c>
    </row>
    <row r="17" spans="1:31" x14ac:dyDescent="0.2">
      <c r="A17" s="23">
        <v>4</v>
      </c>
      <c r="B17" t="s">
        <v>32</v>
      </c>
      <c r="C17" s="24">
        <v>1</v>
      </c>
      <c r="E17" s="23">
        <v>5</v>
      </c>
      <c r="F17" t="str">
        <v>A</v>
      </c>
      <c r="G17" s="24">
        <v>1</v>
      </c>
      <c r="I17" s="23" t="e">
        <v>#N/A</v>
      </c>
      <c r="J17" t="e">
        <v>#N/A</v>
      </c>
      <c r="K17" s="24" t="e">
        <v>#N/A</v>
      </c>
      <c r="M17" s="23" t="e">
        <v>#N/A</v>
      </c>
      <c r="N17" t="e">
        <v>#N/A</v>
      </c>
      <c r="O17" s="24" t="e">
        <v>#N/A</v>
      </c>
      <c r="Q17" s="23" t="e">
        <v>#N/A</v>
      </c>
      <c r="R17" t="e">
        <v>#N/A</v>
      </c>
      <c r="S17" s="24" t="e">
        <v>#N/A</v>
      </c>
      <c r="U17" s="23" t="e">
        <v>#N/A</v>
      </c>
      <c r="V17" t="e">
        <v>#N/A</v>
      </c>
      <c r="W17" s="24" t="e">
        <v>#N/A</v>
      </c>
      <c r="Y17" s="23" t="e">
        <v>#N/A</v>
      </c>
      <c r="Z17" t="e">
        <v>#N/A</v>
      </c>
      <c r="AA17" s="24" t="e">
        <v>#N/A</v>
      </c>
      <c r="AC17" s="23" t="e">
        <v>#N/A</v>
      </c>
      <c r="AD17" t="e">
        <v>#N/A</v>
      </c>
      <c r="AE17" s="24" t="e">
        <v>#N/A</v>
      </c>
    </row>
    <row r="18" spans="1:31" x14ac:dyDescent="0.2">
      <c r="A18" s="25">
        <v>5</v>
      </c>
      <c r="B18" s="26" t="s">
        <v>32</v>
      </c>
      <c r="C18" s="27">
        <v>1</v>
      </c>
      <c r="E18" s="23" t="e">
        <v>#N/A</v>
      </c>
      <c r="F18" t="e">
        <v>#N/A</v>
      </c>
      <c r="G18" s="24" t="e">
        <v>#N/A</v>
      </c>
      <c r="I18" s="23" t="e">
        <v>#N/A</v>
      </c>
      <c r="J18" t="e">
        <v>#N/A</v>
      </c>
      <c r="K18" s="24" t="e">
        <v>#N/A</v>
      </c>
      <c r="M18" s="23" t="e">
        <v>#N/A</v>
      </c>
      <c r="N18" t="e">
        <v>#N/A</v>
      </c>
      <c r="O18" s="24" t="e">
        <v>#N/A</v>
      </c>
      <c r="Q18" s="23" t="e">
        <v>#N/A</v>
      </c>
      <c r="R18" t="e">
        <v>#N/A</v>
      </c>
      <c r="S18" s="24" t="e">
        <v>#N/A</v>
      </c>
      <c r="U18" s="23" t="e">
        <v>#N/A</v>
      </c>
      <c r="V18" t="e">
        <v>#N/A</v>
      </c>
      <c r="W18" s="24" t="e">
        <v>#N/A</v>
      </c>
      <c r="Y18" s="23" t="e">
        <v>#N/A</v>
      </c>
      <c r="Z18" t="e">
        <v>#N/A</v>
      </c>
      <c r="AA18" s="24" t="e">
        <v>#N/A</v>
      </c>
      <c r="AC18" s="23" t="e">
        <v>#N/A</v>
      </c>
      <c r="AD18" t="e">
        <v>#N/A</v>
      </c>
      <c r="AE18" s="24" t="e">
        <v>#N/A</v>
      </c>
    </row>
    <row r="19" spans="1:31" x14ac:dyDescent="0.2">
      <c r="E19" s="25" t="e">
        <v>#N/A</v>
      </c>
      <c r="F19" s="26" t="e">
        <v>#N/A</v>
      </c>
      <c r="G19" s="27" t="e">
        <v>#N/A</v>
      </c>
      <c r="I19" s="25" t="e">
        <v>#N/A</v>
      </c>
      <c r="J19" s="26" t="e">
        <v>#N/A</v>
      </c>
      <c r="K19" s="27" t="e">
        <v>#N/A</v>
      </c>
      <c r="M19" s="25" t="e">
        <v>#N/A</v>
      </c>
      <c r="N19" s="26" t="e">
        <v>#N/A</v>
      </c>
      <c r="O19" s="27" t="e">
        <v>#N/A</v>
      </c>
      <c r="Q19" s="25" t="e">
        <v>#N/A</v>
      </c>
      <c r="R19" s="26" t="e">
        <v>#N/A</v>
      </c>
      <c r="S19" s="27" t="e">
        <v>#N/A</v>
      </c>
      <c r="U19" s="25" t="e">
        <v>#N/A</v>
      </c>
      <c r="V19" s="26" t="e">
        <v>#N/A</v>
      </c>
      <c r="W19" s="27" t="e">
        <v>#N/A</v>
      </c>
      <c r="Y19" s="25" t="e">
        <v>#N/A</v>
      </c>
      <c r="Z19" s="26" t="e">
        <v>#N/A</v>
      </c>
      <c r="AA19" s="27" t="e">
        <v>#N/A</v>
      </c>
      <c r="AC19" s="25" t="e">
        <v>#N/A</v>
      </c>
      <c r="AD19" s="26" t="e">
        <v>#N/A</v>
      </c>
      <c r="AE19" s="27" t="e">
        <v>#N/A</v>
      </c>
    </row>
    <row r="21" spans="1:31" x14ac:dyDescent="0.2">
      <c r="E21" s="38" t="s">
        <v>9</v>
      </c>
      <c r="F21" s="39"/>
      <c r="G21" s="40"/>
    </row>
    <row r="22" spans="1:31" x14ac:dyDescent="0.2">
      <c r="E22" s="20" t="s">
        <v>168</v>
      </c>
      <c r="F22" s="34">
        <v>1</v>
      </c>
      <c r="G22" s="22" t="s">
        <v>169</v>
      </c>
    </row>
    <row r="23" spans="1:31" x14ac:dyDescent="0.2">
      <c r="E23" s="25" t="s">
        <v>170</v>
      </c>
      <c r="F23" s="35" t="b">
        <v>0</v>
      </c>
      <c r="G23" s="27" t="s">
        <v>171</v>
      </c>
    </row>
    <row r="25" spans="1:31" x14ac:dyDescent="0.2">
      <c r="E25" s="13" t="s">
        <v>172</v>
      </c>
      <c r="I25" s="13" t="s">
        <v>173</v>
      </c>
    </row>
    <row r="26" spans="1:31" x14ac:dyDescent="0.2">
      <c r="E26" s="17" t="s">
        <v>174</v>
      </c>
      <c r="F26" s="18"/>
      <c r="G26" s="19"/>
      <c r="I26" s="17" t="s">
        <v>175</v>
      </c>
      <c r="J26" s="18"/>
      <c r="K26" s="19"/>
    </row>
    <row r="27" spans="1:31" x14ac:dyDescent="0.2">
      <c r="E27" s="20">
        <f t="array" ref="E27:G39">DM_UNIQUE($A$7:$C$18,$F$22,$F$23)</f>
        <v>1</v>
      </c>
      <c r="F27" s="21" t="str">
        <v>A</v>
      </c>
      <c r="G27" s="22" t="e">
        <v>#N/A</v>
      </c>
      <c r="I27" s="10">
        <f t="array" ref="I27:K27">DM_UNIQUE({1,2,2,3,3,1,2,3,1,1},1,FALSE)</f>
        <v>1</v>
      </c>
      <c r="J27" s="37">
        <v>2</v>
      </c>
      <c r="K27" s="12">
        <v>3</v>
      </c>
    </row>
    <row r="28" spans="1:31" x14ac:dyDescent="0.2">
      <c r="E28" s="23">
        <v>2</v>
      </c>
      <c r="F28" t="str">
        <v>A</v>
      </c>
      <c r="G28" s="24" t="e">
        <v>#N/A</v>
      </c>
    </row>
    <row r="29" spans="1:31" x14ac:dyDescent="0.2">
      <c r="E29" s="23">
        <v>2</v>
      </c>
      <c r="F29" t="str">
        <v>A</v>
      </c>
      <c r="G29" s="24" t="e">
        <v>#N/A</v>
      </c>
    </row>
    <row r="30" spans="1:31" x14ac:dyDescent="0.2">
      <c r="E30" s="23">
        <v>2</v>
      </c>
      <c r="F30" t="str">
        <v>A</v>
      </c>
      <c r="G30" s="24" t="e">
        <v>#N/A</v>
      </c>
    </row>
    <row r="31" spans="1:31" x14ac:dyDescent="0.2">
      <c r="E31" s="23">
        <v>2</v>
      </c>
      <c r="F31" t="str">
        <v>B</v>
      </c>
      <c r="G31" s="24" t="e">
        <v>#N/A</v>
      </c>
    </row>
    <row r="32" spans="1:31" x14ac:dyDescent="0.2">
      <c r="E32" s="23">
        <v>2</v>
      </c>
      <c r="F32" t="str">
        <v>B</v>
      </c>
      <c r="G32" s="24" t="e">
        <v>#N/A</v>
      </c>
    </row>
    <row r="33" spans="5:7" x14ac:dyDescent="0.2">
      <c r="E33" s="23">
        <v>2</v>
      </c>
      <c r="F33" t="str">
        <v>B</v>
      </c>
      <c r="G33" s="24" t="e">
        <v>#N/A</v>
      </c>
    </row>
    <row r="34" spans="5:7" x14ac:dyDescent="0.2">
      <c r="E34" s="23">
        <v>2</v>
      </c>
      <c r="F34" t="str">
        <v>C</v>
      </c>
      <c r="G34" s="24" t="e">
        <v>#N/A</v>
      </c>
    </row>
    <row r="35" spans="5:7" x14ac:dyDescent="0.2">
      <c r="E35" s="23">
        <v>3</v>
      </c>
      <c r="F35" t="str">
        <v>A</v>
      </c>
      <c r="G35" s="24" t="e">
        <v>#N/A</v>
      </c>
    </row>
    <row r="36" spans="5:7" x14ac:dyDescent="0.2">
      <c r="E36" s="23">
        <v>3</v>
      </c>
      <c r="F36" t="str">
        <v>A</v>
      </c>
      <c r="G36" s="24" t="e">
        <v>#N/A</v>
      </c>
    </row>
    <row r="37" spans="5:7" x14ac:dyDescent="0.2">
      <c r="E37" s="23">
        <v>4</v>
      </c>
      <c r="F37" t="str">
        <v>A</v>
      </c>
      <c r="G37" s="24" t="e">
        <v>#N/A</v>
      </c>
    </row>
    <row r="38" spans="5:7" x14ac:dyDescent="0.2">
      <c r="E38" s="23">
        <v>5</v>
      </c>
      <c r="F38" t="str">
        <v>A</v>
      </c>
      <c r="G38" s="24" t="e">
        <v>#N/A</v>
      </c>
    </row>
    <row r="39" spans="5:7" x14ac:dyDescent="0.2">
      <c r="E39" s="25" t="e">
        <v>#N/A</v>
      </c>
      <c r="F39" s="26" t="e">
        <v>#N/A</v>
      </c>
      <c r="G39" s="27" t="e">
        <v>#N/A</v>
      </c>
    </row>
  </sheetData>
  <dataValidations count="1">
    <dataValidation type="list" allowBlank="1" showInputMessage="1" showErrorMessage="1" sqref="F23" xr:uid="{D3B59900-03EF-45A0-BBAF-D05BA93D325C}">
      <formula1>"TRUE,FALSE"</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DEMO</vt:lpstr>
      <vt:lpstr>DM_ARRAY</vt:lpstr>
      <vt:lpstr>DM_FILTER</vt:lpstr>
      <vt:lpstr>DM_INSERT</vt:lpstr>
      <vt:lpstr>DM_INSERT2</vt:lpstr>
      <vt:lpstr>DM_MERGE</vt:lpstr>
      <vt:lpstr>DM_REVERSE</vt:lpstr>
      <vt:lpstr>DM_SEQUENCE</vt:lpstr>
      <vt:lpstr>DM_SLICE</vt:lpstr>
      <vt:lpstr>DM_SORT</vt:lpstr>
      <vt:lpstr>DM_UNIQUE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 Buse</dc:creator>
  <cp:lastModifiedBy>Cristian Buse</cp:lastModifiedBy>
  <dcterms:created xsi:type="dcterms:W3CDTF">2020-05-14T21:04:06Z</dcterms:created>
  <dcterms:modified xsi:type="dcterms:W3CDTF">2021-01-29T11:26:34Z</dcterms:modified>
</cp:coreProperties>
</file>